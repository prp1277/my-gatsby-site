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tables/table3.xml" ContentType="application/vnd.openxmlformats-officedocument.spreadsheetml.table+xml"/>
  <Override PartName="/xl/tables/table4.xml" ContentType="application/vnd.openxmlformats-officedocument.spreadsheetml.table+xml"/>
  <Override PartName="/xl/tables/table5.xml" ContentType="application/vnd.openxmlformats-officedocument.spreadsheetml.table+xml"/>
  <Override PartName="/xl/tables/table6.xml" ContentType="application/vnd.openxmlformats-officedocument.spreadsheetml.table+xml"/>
  <Override PartName="/xl/tables/table7.xml" ContentType="application/vnd.openxmlformats-officedocument.spreadsheetml.table+xml"/>
  <Override PartName="/xl/tables/table8.xml" ContentType="application/vnd.openxmlformats-officedocument.spreadsheetml.table+xml"/>
  <Override PartName="/xl/tables/table9.xml" ContentType="application/vnd.openxmlformats-officedocument.spreadsheetml.table+xml"/>
  <Override PartName="/xl/tables/table10.xml" ContentType="application/vnd.openxmlformats-officedocument.spreadsheetml.table+xml"/>
  <Override PartName="/xl/tables/table11.xml" ContentType="application/vnd.openxmlformats-officedocument.spreadsheetml.table+xml"/>
  <Override PartName="/xl/tables/table12.xml" ContentType="application/vnd.openxmlformats-officedocument.spreadsheetml.table+xml"/>
  <Override PartName="/xl/tables/table13.xml" ContentType="application/vnd.openxmlformats-officedocument.spreadsheetml.table+xml"/>
  <Override PartName="/xl/tables/table14.xml" ContentType="application/vnd.openxmlformats-officedocument.spreadsheetml.table+xml"/>
  <Override PartName="/xl/tables/table15.xml" ContentType="application/vnd.openxmlformats-officedocument.spreadsheetml.table+xml"/>
  <Override PartName="/xl/tables/table16.xml" ContentType="application/vnd.openxmlformats-officedocument.spreadsheetml.table+xml"/>
  <Override PartName="/xl/tables/table17.xml" ContentType="application/vnd.openxmlformats-officedocument.spreadsheetml.table+xml"/>
  <Override PartName="/xl/tables/table18.xml" ContentType="application/vnd.openxmlformats-officedocument.spreadsheetml.table+xml"/>
  <Override PartName="/xl/tables/table19.xml" ContentType="application/vnd.openxmlformats-officedocument.spreadsheetml.table+xml"/>
  <Override PartName="/xl/tables/table20.xml" ContentType="application/vnd.openxmlformats-officedocument.spreadsheetml.table+xml"/>
  <Override PartName="/xl/tables/table21.xml" ContentType="application/vnd.openxmlformats-officedocument.spreadsheetml.table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0801" codeName="{3D1A710C-6663-3D7B-7F91-EC182F24A4BC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prp12.000\src\prp1277.github.io\"/>
    </mc:Choice>
  </mc:AlternateContent>
  <xr:revisionPtr revIDLastSave="0" documentId="13_ncr:1_{7C45768E-D290-4C06-84DA-8E03F3443B1D}" xr6:coauthVersionLast="36" xr6:coauthVersionMax="36" xr10:uidLastSave="{00000000-0000-0000-0000-000000000000}"/>
  <bookViews>
    <workbookView xWindow="990" yWindow="0" windowWidth="18210" windowHeight="8330" xr2:uid="{63D9B296-1D74-42DF-8476-CCCD958240C2}"/>
  </bookViews>
  <sheets>
    <sheet name="README" sheetId="2" r:id="rId1"/>
    <sheet name="RESOURCES" sheetId="3" r:id="rId2"/>
  </sheets>
  <calcPr calcId="179021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FV"/>
      </xcalcf:calcFeatures>
    </ext>
  </extLst>
</workbook>
</file>

<file path=xl/calcChain.xml><?xml version="1.0" encoding="utf-8"?>
<calcChain xmlns="http://schemas.openxmlformats.org/spreadsheetml/2006/main">
  <c r="D100" i="2" l="1"/>
  <c r="D94" i="2"/>
  <c r="D95" i="2"/>
  <c r="D96" i="2"/>
  <c r="D97" i="2"/>
  <c r="D91" i="2"/>
  <c r="D85" i="2"/>
  <c r="D86" i="2"/>
  <c r="D87" i="2"/>
  <c r="D88" i="2"/>
  <c r="D82" i="2"/>
  <c r="D78" i="2"/>
  <c r="D79" i="2"/>
  <c r="D74" i="2"/>
  <c r="D75" i="2"/>
  <c r="D57" i="2"/>
  <c r="D58" i="2"/>
  <c r="D59" i="2"/>
  <c r="D60" i="2"/>
  <c r="D61" i="2"/>
  <c r="D62" i="2"/>
  <c r="D63" i="2"/>
  <c r="D64" i="2"/>
  <c r="D65" i="2"/>
  <c r="D66" i="2"/>
  <c r="D67" i="2"/>
  <c r="D68" i="2"/>
  <c r="D69" i="2"/>
  <c r="D70" i="2"/>
  <c r="D71" i="2"/>
  <c r="D47" i="2"/>
  <c r="D48" i="2"/>
  <c r="D49" i="2"/>
  <c r="D50" i="2"/>
  <c r="D51" i="2"/>
  <c r="D52" i="2"/>
  <c r="D53" i="2"/>
  <c r="D54" i="2"/>
  <c r="D43" i="2"/>
  <c r="D44" i="2"/>
  <c r="D36" i="2"/>
  <c r="D37" i="2"/>
  <c r="D38" i="2"/>
  <c r="D39" i="2"/>
  <c r="D40" i="2"/>
  <c r="D20" i="2"/>
  <c r="D21" i="2"/>
  <c r="D22" i="2"/>
  <c r="D23" i="2"/>
  <c r="D24" i="2"/>
  <c r="D25" i="2"/>
  <c r="D26" i="2"/>
  <c r="D27" i="2"/>
  <c r="D28" i="2"/>
  <c r="D29" i="2"/>
  <c r="D30" i="2"/>
  <c r="D31" i="2"/>
  <c r="D32" i="2"/>
  <c r="D33" i="2"/>
  <c r="D16" i="2"/>
  <c r="D17" i="2"/>
  <c r="D13" i="2"/>
  <c r="D9" i="2"/>
  <c r="D10" i="2"/>
  <c r="D2" i="2"/>
  <c r="D3" i="2"/>
  <c r="D4" i="2"/>
  <c r="D5" i="2"/>
  <c r="D6" i="2"/>
  <c r="D33" i="3"/>
  <c r="D34" i="3"/>
  <c r="D35" i="3"/>
  <c r="D36" i="3"/>
  <c r="D37" i="3"/>
  <c r="D38" i="3"/>
  <c r="D39" i="3"/>
  <c r="D40" i="3"/>
  <c r="D41" i="3"/>
  <c r="D42" i="3"/>
  <c r="D43" i="3"/>
  <c r="D25" i="3"/>
  <c r="D26" i="3"/>
  <c r="D27" i="3"/>
  <c r="D28" i="3"/>
  <c r="D29" i="3"/>
  <c r="D30" i="3"/>
  <c r="D16" i="3"/>
  <c r="D17" i="3"/>
  <c r="D18" i="3"/>
  <c r="D19" i="3"/>
  <c r="D20" i="3"/>
  <c r="D21" i="3"/>
  <c r="D22" i="3"/>
  <c r="D11" i="3"/>
  <c r="D12" i="3"/>
  <c r="D13" i="3"/>
  <c r="D3" i="3"/>
  <c r="D4" i="3"/>
  <c r="D5" i="3"/>
  <c r="D6" i="3"/>
  <c r="D7" i="3"/>
  <c r="D8" i="3"/>
  <c r="C33" i="3"/>
  <c r="C34" i="3"/>
  <c r="C35" i="3"/>
  <c r="C36" i="3"/>
  <c r="C37" i="3"/>
  <c r="C38" i="3"/>
  <c r="C39" i="3"/>
  <c r="C40" i="3"/>
  <c r="C41" i="3"/>
  <c r="C42" i="3"/>
  <c r="C43" i="3"/>
  <c r="C25" i="3"/>
  <c r="C26" i="3"/>
  <c r="C27" i="3"/>
  <c r="C28" i="3"/>
  <c r="C29" i="3"/>
  <c r="C30" i="3"/>
  <c r="C16" i="3"/>
  <c r="C17" i="3"/>
  <c r="C18" i="3"/>
  <c r="C19" i="3"/>
  <c r="C20" i="3"/>
  <c r="C21" i="3"/>
  <c r="C22" i="3"/>
  <c r="C11" i="3"/>
  <c r="C12" i="3"/>
  <c r="C13" i="3"/>
  <c r="C3" i="3"/>
  <c r="C4" i="3"/>
  <c r="C5" i="3"/>
  <c r="C6" i="3"/>
  <c r="C7" i="3"/>
  <c r="C8" i="3"/>
  <c r="C88" i="2" l="1"/>
  <c r="C100" i="2" l="1"/>
  <c r="C94" i="2"/>
  <c r="C95" i="2"/>
  <c r="C96" i="2"/>
  <c r="C97" i="2"/>
  <c r="C91" i="2"/>
  <c r="C85" i="2"/>
  <c r="C86" i="2"/>
  <c r="C87" i="2"/>
  <c r="C82" i="2"/>
  <c r="C78" i="2"/>
  <c r="C79" i="2"/>
  <c r="C74" i="2"/>
  <c r="C75" i="2"/>
  <c r="C57" i="2"/>
  <c r="C58" i="2"/>
  <c r="C59" i="2"/>
  <c r="C60" i="2"/>
  <c r="C61" i="2"/>
  <c r="C62" i="2"/>
  <c r="C63" i="2"/>
  <c r="C64" i="2"/>
  <c r="C65" i="2"/>
  <c r="C66" i="2"/>
  <c r="C67" i="2"/>
  <c r="C68" i="2"/>
  <c r="C69" i="2"/>
  <c r="C70" i="2"/>
  <c r="C71" i="2"/>
  <c r="C47" i="2"/>
  <c r="C48" i="2"/>
  <c r="C49" i="2"/>
  <c r="C50" i="2"/>
  <c r="C51" i="2"/>
  <c r="C52" i="2"/>
  <c r="C53" i="2"/>
  <c r="C54" i="2"/>
  <c r="C43" i="2"/>
  <c r="C44" i="2"/>
  <c r="C36" i="2"/>
  <c r="C37" i="2"/>
  <c r="C38" i="2"/>
  <c r="C39" i="2"/>
  <c r="C40" i="2"/>
  <c r="C20" i="2"/>
  <c r="C21" i="2"/>
  <c r="C22" i="2"/>
  <c r="C23" i="2"/>
  <c r="C24" i="2"/>
  <c r="C25" i="2"/>
  <c r="C26" i="2"/>
  <c r="C27" i="2"/>
  <c r="C28" i="2"/>
  <c r="C29" i="2"/>
  <c r="C30" i="2"/>
  <c r="C31" i="2"/>
  <c r="C32" i="2"/>
  <c r="C33" i="2"/>
  <c r="C16" i="2"/>
  <c r="C17" i="2"/>
  <c r="C13" i="2"/>
  <c r="C9" i="2"/>
  <c r="C10" i="2"/>
  <c r="C2" i="2"/>
  <c r="C3" i="2"/>
  <c r="C4" i="2"/>
  <c r="C5" i="2"/>
  <c r="C6" i="2"/>
</calcChain>
</file>

<file path=xl/sharedStrings.xml><?xml version="1.0" encoding="utf-8"?>
<sst xmlns="http://schemas.openxmlformats.org/spreadsheetml/2006/main" count="306" uniqueCount="249">
  <si>
    <t>Resources:</t>
  </si>
  <si>
    <t>KCTech Partners</t>
  </si>
  <si>
    <t>Kansas Works</t>
  </si>
  <si>
    <t>Library Special Populations</t>
  </si>
  <si>
    <t>/r/ Programming Principals that Helped Me</t>
  </si>
  <si>
    <t>Wikipedia Random Article</t>
  </si>
  <si>
    <t>React:</t>
  </si>
  <si>
    <t>React JavaScript Tutorial in VS Code</t>
  </si>
  <si>
    <t xml:space="preserve">Passing JSON Objects as Parameters </t>
  </si>
  <si>
    <t>Outlook:</t>
  </si>
  <si>
    <t>Outlook Connectors</t>
  </si>
  <si>
    <t>Compatibility Tests</t>
  </si>
  <si>
    <t>Architect Personality - INTJ</t>
  </si>
  <si>
    <t>IKM SQL Test</t>
  </si>
  <si>
    <t>Web Development</t>
  </si>
  <si>
    <t>Source to Source Compiler</t>
  </si>
  <si>
    <t>Web Architecture 101</t>
  </si>
  <si>
    <t>Google Location History</t>
  </si>
  <si>
    <t>Tech Stuff - Programming Languages</t>
  </si>
  <si>
    <t>Evolution of NYT Tech Stack</t>
  </si>
  <si>
    <t>Netflix Open Source UX</t>
  </si>
  <si>
    <t>Mozilla Getting Started with the Web</t>
  </si>
  <si>
    <t>POST Process</t>
  </si>
  <si>
    <t>Edge for devs</t>
  </si>
  <si>
    <t>Jekyll Reference</t>
  </si>
  <si>
    <t>W3 How-To</t>
  </si>
  <si>
    <t>Editor Configuration</t>
  </si>
  <si>
    <t>Bootsrapping</t>
  </si>
  <si>
    <t>PatP0w Reddit Feed</t>
  </si>
  <si>
    <t>APIs</t>
  </si>
  <si>
    <t>Twitter APIs</t>
  </si>
  <si>
    <t>Google APIs</t>
  </si>
  <si>
    <t>IEX Documentation</t>
  </si>
  <si>
    <t>BF Tracker</t>
  </si>
  <si>
    <t>Additional APIs</t>
  </si>
  <si>
    <t>Econometrics</t>
  </si>
  <si>
    <t>Klipfolio</t>
  </si>
  <si>
    <t>Excel / PBI</t>
  </si>
  <si>
    <t>Power BI Capabilities in Excel</t>
  </si>
  <si>
    <t>Text Analysis in Power BI with Cognitive services</t>
  </si>
  <si>
    <t>Create File List Macro</t>
  </si>
  <si>
    <t>Chandoo Dashboard Templates</t>
  </si>
  <si>
    <t>Excel Add-Ins Tutorial</t>
  </si>
  <si>
    <t>DIYBI-PowerQuery</t>
  </si>
  <si>
    <t>Power BI Geocoding</t>
  </si>
  <si>
    <t>Chris Webb Crossjoin BI</t>
  </si>
  <si>
    <t>VBA</t>
  </si>
  <si>
    <t>Best Sites to Learn VBA</t>
  </si>
  <si>
    <t>Excel Pratique Intro</t>
  </si>
  <si>
    <t>Selections</t>
  </si>
  <si>
    <t>Variables</t>
  </si>
  <si>
    <t>Conditions</t>
  </si>
  <si>
    <t>Loops</t>
  </si>
  <si>
    <t>Procedures &amp; Functions</t>
  </si>
  <si>
    <t>Dialog Boxes</t>
  </si>
  <si>
    <t>Workbook Events</t>
  </si>
  <si>
    <t>User Forms</t>
  </si>
  <si>
    <t>VBA Arrays</t>
  </si>
  <si>
    <t>Functions</t>
  </si>
  <si>
    <t>Tricks &amp; Shortcuts</t>
  </si>
  <si>
    <t>Going from VBA to JS</t>
  </si>
  <si>
    <t>What's New in VBA 2016</t>
  </si>
  <si>
    <t>SQL Cheat sheet</t>
  </si>
  <si>
    <t>SQL Tutorial</t>
  </si>
  <si>
    <t>Git Branching Model</t>
  </si>
  <si>
    <t>Git-It</t>
  </si>
  <si>
    <t>Using Youtube as a Data Source</t>
  </si>
  <si>
    <t>Using R to Generate World Cup Notifications</t>
  </si>
  <si>
    <t>Harness the Power of the Web in R</t>
  </si>
  <si>
    <t>Free Data Science and Statistics Links</t>
  </si>
  <si>
    <t>Webscrape with Pandas</t>
  </si>
  <si>
    <t>Domain / Network Management</t>
  </si>
  <si>
    <t>NTFS File System</t>
  </si>
  <si>
    <t>Solar Winds Network Monitoring</t>
  </si>
  <si>
    <t>Windows CLI</t>
  </si>
  <si>
    <t>Shadow IT</t>
  </si>
  <si>
    <t>Miles Wedding Videos</t>
  </si>
  <si>
    <t>http://www.kctechcouncil.com/partners</t>
  </si>
  <si>
    <t>https://code.visualstudio.com/docs/nodejs/reactjs-tutorial</t>
  </si>
  <si>
    <t>https://stackoverflow.com/questions/5865442/how-to-pass-json-object-as-a-parameter-to-another-method</t>
  </si>
  <si>
    <t>https://www.bing.com/search?q=exconometrics&amp;form=EDGTCT&amp;qs=PF&amp;cvid=294feca3c6e840998d1faa3fda70ae45&amp;cc=US&amp;setlang=en-US&amp;PC=LSJS</t>
  </si>
  <si>
    <t>https://www.klipfolio.com/</t>
  </si>
  <si>
    <t>https://docs.google.com/spreadsheets/d/e/2PACX-1vSagKTIeMWiRffzpL8vL9eu_BAr_2DSyBSQJKbWwPSOl0Z7JOhBQaIPenm4lYXXtEzZOdTGXCbd1U6D/pubhtml</t>
  </si>
  <si>
    <t>https://iextrading.com/developer/</t>
  </si>
  <si>
    <t>https://www.reddit.com/.json?feed=4e6cf8d760d7d15b9f9b50288143800681feed51&amp;user=PATP0W</t>
  </si>
  <si>
    <t>https://www.kansasworks.com/ada/r/jobs/10621165</t>
  </si>
  <si>
    <t>https://www.kclibrary.org/business-career/find-job/find-employment-special-populations</t>
  </si>
  <si>
    <t>https://www.reddit.com/r/learnprogramming/comments/8kvo5s/programming_principles_that_helped_me/?st=JHFQLU5J&amp;sh=aa898404</t>
  </si>
  <si>
    <t>https://en.wikipedia.org/wiki/Special:Random</t>
  </si>
  <si>
    <t>https://outlook.office.com/connectors/Home/Login?Client=Win32_Outlook&amp;MailboxAddress=PowellPR%40hawks.rockhurst.edu&amp;Culture=en-US&amp;MailboxType=User&amp;Category=Mail&amp;src=inbox</t>
  </si>
  <si>
    <t>https://www.16personalities.com/intj-personality</t>
  </si>
  <si>
    <t>https://online.ikmnet.com/test_result/showresult.cfm</t>
  </si>
  <si>
    <t>https://en.wikipedia.org/wiki/Source-to-source_compiler</t>
  </si>
  <si>
    <t>https://engineering.videoblocks.com/web-architecture-101-a3224e126947</t>
  </si>
  <si>
    <t>https://stackoverflow.com/questions/32332904/current-url-to-download-kml-data-from-google-location-history</t>
  </si>
  <si>
    <t>https://open.spotify.com/episode/32eqHCWIpqsYf3xN3kKKJg?si=dRignF0tRsG32ye52BLfzQ</t>
  </si>
  <si>
    <t>https://stackshare.io/posts/evolution-of-new-york-times-tech-stack</t>
  </si>
  <si>
    <t>https://drive.google.com/drive/folders/1y4X8H56TS6M7AXAU7yIm0EyxhqNUy1sz</t>
  </si>
  <si>
    <t>https://developer.mozilla.org/en-US/docs/Learn/Getting_started_with_the_web</t>
  </si>
  <si>
    <t>https://www.lifewire.com/what-is-post-2625953</t>
  </si>
  <si>
    <t>https://blogs.windows.com/msedgedev/2018/05/11/introducing-edge-devtools-protocol/</t>
  </si>
  <si>
    <t>https://jekyllrb.com/docs/home/</t>
  </si>
  <si>
    <t>https://www.w3schools.com/howto/howto_css_bottom_nav.asp</t>
  </si>
  <si>
    <t>http://editorconfig.org/</t>
  </si>
  <si>
    <t>https://bootsnipp.com/</t>
  </si>
  <si>
    <t>https://developer.twitter.com/en/use-cases/analyze</t>
  </si>
  <si>
    <t>https://battlefieldtracker.com/bf1/profile/xbox/imamiget1277/live</t>
  </si>
  <si>
    <t>onenote:</t>
  </si>
  <si>
    <t>https://dev.office.com/blogs/azure-machine-learning-javascript-custom-functions-and-power-bi-custom-visuals-further-expand-developers-capabilities-with-excel</t>
  </si>
  <si>
    <t>https://www.youtube.com/watch?v=WWod8ETS7J8</t>
  </si>
  <si>
    <t>https://www.myonlinetraininghub.com/Create-Hyperlinked-List-of-Files-in-Subfolders</t>
  </si>
  <si>
    <t>http://chandoo.org/dbt/index.html</t>
  </si>
  <si>
    <t>https://docs.microsoft.com/en-us/office/dev/add-ins/tutorials/excel-tutorial</t>
  </si>
  <si>
    <t>C:\Users\prp12.000\OneDrive\Documents\Reinhart\Resources\DIYBI-PowerQuery</t>
  </si>
  <si>
    <t>https://msdn.microsoft.com/en-us/library/ff701714.aspx</t>
  </si>
  <si>
    <t>https://blog.crossjoin.co.uk/</t>
  </si>
  <si>
    <t>https://blog.cometdocs.com/the-best-places-to-learn-vba-online</t>
  </si>
  <si>
    <t>https://www.excel-pratique.com/en/vba/introduction.php</t>
  </si>
  <si>
    <t>https://www.excel-pratique.com/en/vba/selections.php</t>
  </si>
  <si>
    <t>https://www.excel-pratique.com/en/vba/variables.php</t>
  </si>
  <si>
    <t>https://www.excel-pratique.com/en/vba/conditions.php</t>
  </si>
  <si>
    <t>https://www.excel-pratique.com/en/vba/loops.php</t>
  </si>
  <si>
    <t>https://www.excel-pratique.com/en/vba/procedures_functions.php</t>
  </si>
  <si>
    <t>https://www.excel-pratique.com/en/vba/workbook_events.php</t>
  </si>
  <si>
    <t>https://www.excel-pratique.com/en/vba/userform.php</t>
  </si>
  <si>
    <t>https://www.excel-pratique.com/en/vba/vba_arrays.php</t>
  </si>
  <si>
    <t>https://www.excel-pratique.com/en/vba/vba_functions.php</t>
  </si>
  <si>
    <t>https://www.excel-pratique.com/en/vba/vba_tricks.php</t>
  </si>
  <si>
    <t>https://blogs.msmvps.com/wordmeister/category/vba-js/</t>
  </si>
  <si>
    <t>https://msdn.microsoft.com/en-us/vba/office-shared-vba/articles/what-s-new-for-vba-in-office-2016</t>
  </si>
  <si>
    <t>https://www.kdnuggets.com/2018/07/sql-cheat-sheet.html</t>
  </si>
  <si>
    <t>http://sol.gfxile.net/g3/</t>
  </si>
  <si>
    <t>https://nvie.com/posts/a-successful-git-branching-model/</t>
  </si>
  <si>
    <t>http://jlord.us/git-it/index.html</t>
  </si>
  <si>
    <t>https://dzone.com/articles/using-youtube-as-a-data-source-in-gatsbyjs</t>
  </si>
  <si>
    <t>https://www.openanalytics.eu/blog/2018/07/05/world-cup-notifications-with-r/</t>
  </si>
  <si>
    <t>https://www.lucymcgowan.com/talk/asa_joint_statistical_meeting_2018/</t>
  </si>
  <si>
    <t>http://www.deeplytrivial.com/2017/10/statistics-sunday-free-data-science-and.html</t>
  </si>
  <si>
    <t>http://blog.kaggle.com/2017/01/31/scraping-for-craft-beers-a-dataset-creation-tutorial/?utm_medium=email&amp;utm_source=intercom&amp;utm_campaign=new+user+onboarding</t>
  </si>
  <si>
    <t>https://www.lifewire.com/ntfs-file-system-2625948</t>
  </si>
  <si>
    <t>https://www.solarwinds.com/free-tools</t>
  </si>
  <si>
    <t>https://www.computerhope.com/issues/chusedos.htm</t>
  </si>
  <si>
    <t>https://wikipedia.org/wiki/Shadow_IT</t>
  </si>
  <si>
    <t>https://1drv.ms/f/s!AoLkNBOSNnKyidYKmxhQYQddSx_bJA</t>
  </si>
  <si>
    <t>URL</t>
  </si>
  <si>
    <t>[</t>
  </si>
  <si>
    <t>]</t>
  </si>
  <si>
    <t>(</t>
  </si>
  <si>
    <t>)</t>
  </si>
  <si>
    <t>"</t>
  </si>
  <si>
    <t>https://csgillespie.github.io/efficientR/index.html#building-the-book</t>
  </si>
  <si>
    <t>https://csgillespie.github.io/efficientR/index.html</t>
  </si>
  <si>
    <t>md</t>
  </si>
  <si>
    <t>Finance2</t>
  </si>
  <si>
    <t>R2</t>
  </si>
  <si>
    <t>python2</t>
  </si>
  <si>
    <t>Other2</t>
  </si>
  <si>
    <t>## Resources</t>
  </si>
  <si>
    <t>## React</t>
  </si>
  <si>
    <t>## Outlook</t>
  </si>
  <si>
    <t>## Compatibility</t>
  </si>
  <si>
    <t>## Web Dev</t>
  </si>
  <si>
    <t>## API</t>
  </si>
  <si>
    <t>## Finance</t>
  </si>
  <si>
    <t>## Excel / BI</t>
  </si>
  <si>
    <t>## Visual Basic</t>
  </si>
  <si>
    <t>## SQL</t>
  </si>
  <si>
    <t>## Git</t>
  </si>
  <si>
    <t>## Gatsby</t>
  </si>
  <si>
    <t>## R</t>
  </si>
  <si>
    <t>## Python</t>
  </si>
  <si>
    <t>## Network</t>
  </si>
  <si>
    <t>## Other</t>
  </si>
  <si>
    <t>HTML</t>
  </si>
  <si>
    <t>&lt;a href="</t>
  </si>
  <si>
    <t>alt="</t>
  </si>
  <si>
    <t>&gt;</t>
  </si>
  <si>
    <t>Excel</t>
  </si>
  <si>
    <t>/r/Excel</t>
  </si>
  <si>
    <t>PowerSpreadSheets</t>
  </si>
  <si>
    <t>MyExcelOnline</t>
  </si>
  <si>
    <t>MyOnlineTrainingHub</t>
  </si>
  <si>
    <t>TheSpreadsheetGuru</t>
  </si>
  <si>
    <t>PowerQueryTraining</t>
  </si>
  <si>
    <t>R-Bloggers</t>
  </si>
  <si>
    <t>/r/RStudio</t>
  </si>
  <si>
    <t>R Questions</t>
  </si>
  <si>
    <t>W3schools</t>
  </si>
  <si>
    <t>GatsbyJS</t>
  </si>
  <si>
    <t>Blogging with Gatsby and React</t>
  </si>
  <si>
    <t>Guide to Gatsby with Netlify</t>
  </si>
  <si>
    <t>Personal Resources Repository</t>
  </si>
  <si>
    <t>React Flexbox</t>
  </si>
  <si>
    <t>Multiple HTTP requests in Node.js</t>
  </si>
  <si>
    <t>Forums (Excel and Power BI)</t>
  </si>
  <si>
    <t>Official Power BI Forum</t>
  </si>
  <si>
    <t>TechNet Power Query</t>
  </si>
  <si>
    <t>TechNet Power Pivot</t>
  </si>
  <si>
    <t>Mr Excel Power BI</t>
  </si>
  <si>
    <t>Stackoverflow Power Query</t>
  </si>
  <si>
    <t>XLGuru - Ken Puls</t>
  </si>
  <si>
    <t>MVP Blogs</t>
  </si>
  <si>
    <t>The Biccountant - Imke Feldmann</t>
  </si>
  <si>
    <t>Crossjoin - Chris Webb</t>
  </si>
  <si>
    <t>DataChant - Gil Raviv</t>
  </si>
  <si>
    <t>Bondarenkoivan - Ivan Bond</t>
  </si>
  <si>
    <t>Excel Inside Pro - Maxim Zelensky</t>
  </si>
  <si>
    <t>Matt Mason's blog</t>
  </si>
  <si>
    <t>Exceleratorbi - Matt Allington</t>
  </si>
  <si>
    <t>PowerPivotPro - Rob Collie</t>
  </si>
  <si>
    <t>SQLBi - Marco Russo &amp; Alberto Ferrari</t>
  </si>
  <si>
    <t>tinylizard - Scott Senkeresty</t>
  </si>
  <si>
    <t>Title</t>
  </si>
  <si>
    <t>R</t>
  </si>
  <si>
    <t>Web Dev</t>
  </si>
  <si>
    <t>https://reddit.com/r/excel</t>
  </si>
  <si>
    <t>https://powerspreadsheets.com/</t>
  </si>
  <si>
    <t>https://myexcelonline.com/</t>
  </si>
  <si>
    <t>https://myonlinetraininghub.com/</t>
  </si>
  <si>
    <t>https://thespreadsheetguru.com/</t>
  </si>
  <si>
    <t>https://www.r-bloggers.com/</t>
  </si>
  <si>
    <t>https://reddit.com/r/rstudio</t>
  </si>
  <si>
    <t>https://powerquerytraining.com/</t>
  </si>
  <si>
    <t>https://www.r-bloggers.com/where-to-get-help-with-your-r-question/</t>
  </si>
  <si>
    <t>https://w3schools.com/</t>
  </si>
  <si>
    <t>https://gatsbyjs.org/</t>
  </si>
  <si>
    <t>https://auth0.com/blog/building-a-blog-with-gatsby-react-and-webtask/</t>
  </si>
  <si>
    <t>https://www.netlify.com/blog/2016/02/24/a-step-by-step-guide-gatsby-on-netlify/</t>
  </si>
  <si>
    <t>https://github.com/prp1277/resources</t>
  </si>
  <si>
    <t>https://reactjsexample.com/react-flexbox-grid-made-simple/</t>
  </si>
  <si>
    <t>https://stackoverflow.com/questions/34436455/calling-multiple-http-requests-in-a-single-http-request-in-node-js</t>
  </si>
  <si>
    <t>http://community.powerbi.com/t5/Forums/ct-p/Forums</t>
  </si>
  <si>
    <t>https://social.technet.microsoft.com/Forums/en-US/home?forum=powerquery</t>
  </si>
  <si>
    <t>https://social.technet.microsoft.com/Forums/en-US/home?forum=powerquery%2Csqlkjpowerpivotforexcel&amp;filter=alltypes&amp;sort=lastpostdesc</t>
  </si>
  <si>
    <t>http://www.mrexcel.com/forum/power-bi/</t>
  </si>
  <si>
    <t>http://stackoverflow.com/questions/tagged/powerquery</t>
  </si>
  <si>
    <t>http://www.excelguru.ca/forums/forumdisplay.php?19-Power-Query-(Get-amp-Transform)</t>
  </si>
  <si>
    <t>https://www.thebiccountant.com/</t>
  </si>
  <si>
    <t>http://blog.crossjoin.co.uk/</t>
  </si>
  <si>
    <t>http://www.excelguru.ca/blog/</t>
  </si>
  <si>
    <t>https://datachant.com/</t>
  </si>
  <si>
    <t>https://bondarenkoivan.wordpress.com/</t>
  </si>
  <si>
    <t>http://excel-inside.pro/</t>
  </si>
  <si>
    <t>http://www.mattmasson.com/</t>
  </si>
  <si>
    <t>http://exceleratorbi.com.au/</t>
  </si>
  <si>
    <t>http://www.powerpivotpro.com/</t>
  </si>
  <si>
    <t>https://www.sqlbi.com/</t>
  </si>
  <si>
    <t>http://tinylizard.com/</t>
  </si>
  <si>
    <t>&lt;/a&gt;&lt;br/&gt;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</si>
</sst>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4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u/>
      <sz val="11"/>
      <color theme="10"/>
      <name val="Calibri"/>
      <family val="2"/>
      <scheme val="minor"/>
    </font>
    <font>
      <sz val="11"/>
      <color theme="1"/>
      <name val="Calibri"/>
      <family val="2"/>
      <scheme val="minor"/>
    </font>
  </fonts>
  <fills count="2">
    <fill>
      <patternFill patternType="none"/>
    </fill>
    <fill>
      <patternFill patternType="gray125"/>
    </fill>
  </fills>
  <borders count="2">
    <border>
      <left/>
      <right/>
      <top/>
      <bottom/>
      <diagonal/>
    </border>
    <border>
      <left/>
      <right/>
      <top/>
      <bottom style="medium">
        <color rgb="FF000000"/>
      </bottom>
      <diagonal/>
    </border>
  </borders>
  <cellStyleXfs count="2">
    <xf numFmtId="0" fontId="0" fillId="0" borderId="0"/>
    <xf numFmtId="0" fontId="2" fillId="0" borderId="0" applyNumberFormat="0" applyFill="0" applyBorder="0" applyAlignment="0" applyProtection="0"/>
  </cellStyleXfs>
  <cellXfs count="7">
    <xf numFmtId="0" fontId="0" fillId="0" borderId="0" xfId="0"/>
    <xf numFmtId="0" fontId="0" fillId="0" borderId="0" xfId="0" applyAlignment="1">
      <alignment vertical="center"/>
    </xf>
    <xf numFmtId="0" fontId="1" fillId="0" borderId="0" xfId="0" applyFont="1" applyAlignment="1">
      <alignment vertical="center"/>
    </xf>
    <xf numFmtId="0" fontId="0" fillId="0" borderId="0" xfId="0" applyNumberFormat="1"/>
    <xf numFmtId="0" fontId="0" fillId="0" borderId="0" xfId="0" applyFont="1" applyAlignment="1">
      <alignment horizontal="left"/>
    </xf>
    <xf numFmtId="0" fontId="2" fillId="0" borderId="0" xfId="1" applyFont="1" applyAlignment="1">
      <alignment horizontal="left"/>
    </xf>
    <xf numFmtId="0" fontId="3" fillId="0" borderId="1" xfId="0" applyFont="1" applyBorder="1" applyAlignment="1">
      <alignment horizontal="left"/>
    </xf>
  </cellXfs>
  <cellStyles count="2">
    <cellStyle name="Hyperlink" xfId="1" builtinId="8"/>
    <cellStyle name="Normal" xfId="0" builtinId="0"/>
  </cellStyles>
  <dxfs count="54"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0" formatCode="General"/>
      <alignment horizontal="left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0" formatCode="General"/>
      <alignment horizontal="left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0" formatCode="General"/>
      <alignment horizontal="left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0" formatCode="General"/>
      <alignment horizontal="left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0" formatCode="General"/>
      <alignment horizontal="left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0" formatCode="General"/>
      <alignment horizontal="left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0" formatCode="General"/>
      <alignment horizontal="left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0" formatCode="General"/>
      <alignment horizontal="left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0" formatCode="General"/>
      <alignment horizontal="left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0" formatCode="General"/>
      <alignment horizontal="left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left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left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left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/>
        <vertAlign val="baseline"/>
        <sz val="11"/>
        <color theme="10"/>
        <name val="Calibri"/>
        <family val="2"/>
        <scheme val="minor"/>
      </font>
      <alignment horizontal="left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left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left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left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/>
        <vertAlign val="baseline"/>
        <sz val="11"/>
        <color theme="10"/>
        <name val="Calibri"/>
        <family val="2"/>
        <scheme val="minor"/>
      </font>
      <alignment horizontal="left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left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left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left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/>
        <vertAlign val="baseline"/>
        <sz val="11"/>
        <color theme="10"/>
        <name val="Calibri"/>
        <family val="2"/>
        <scheme val="minor"/>
      </font>
      <alignment horizontal="left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left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left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left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/>
        <vertAlign val="baseline"/>
        <sz val="11"/>
        <color theme="10"/>
        <name val="Calibri"/>
        <family val="2"/>
        <scheme val="minor"/>
      </font>
      <alignment horizontal="left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left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left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left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/>
        <vertAlign val="baseline"/>
        <sz val="11"/>
        <color theme="10"/>
        <name val="Calibri"/>
        <family val="2"/>
        <scheme val="minor"/>
      </font>
      <alignment horizontal="left" vertical="bottom" textRotation="0" wrapText="0" indent="0" justifyLastLine="0" shrinkToFit="0" readingOrder="0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A9199186-CA1B-4F17-8551-758252A775C1}" name="Resources" displayName="Resources" ref="A1:D6" totalsRowShown="0">
  <autoFilter ref="A1:D6" xr:uid="{71E1EA2A-AC24-4ED7-8FB1-A010A3DC1352}"/>
  <tableColumns count="4">
    <tableColumn id="1" xr3:uid="{A1F18D23-195F-4647-A9BE-C8439A00D659}" name="Resources:"/>
    <tableColumn id="2" xr3:uid="{9401E503-EE02-423B-B582-7A33A2005CFD}" name="URL"/>
    <tableColumn id="3" xr3:uid="{AEAC256F-D081-4DFD-BF6B-88AA3784CCD3}" name="## Resources" dataDxfId="53">
      <calculatedColumnFormula>$G$1&amp;A2&amp;$H$1&amp;$I$1&amp;B2&amp;$J$1</calculatedColumnFormula>
    </tableColumn>
    <tableColumn id="4" xr3:uid="{D8CA6EB9-E118-44BF-85BF-F276A878487D}" name="HTML" dataDxfId="11">
      <calculatedColumnFormula>$K$1&amp;B2&amp;$F$1&amp;" "&amp;$L$1&amp;A2&amp;$F$1&amp;$M$1&amp;A2&amp;$N$1</calculatedColumnFormula>
    </tableColumn>
  </tableColumns>
  <tableStyleInfo name="TableStyleMedium2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D204DE9F-D936-454E-AC11-2D318822D863}" name="React" displayName="React" ref="A8:D10" totalsRowShown="0">
  <autoFilter ref="A8:D10" xr:uid="{07A2495F-F13E-4660-B3C7-EED839C45CE5}"/>
  <tableColumns count="4">
    <tableColumn id="1" xr3:uid="{5F58216E-C6A9-4F42-AED0-E83A614B11B1}" name="React:"/>
    <tableColumn id="2" xr3:uid="{F5BBA579-5A5E-414A-9FAF-7EBC7493B824}" name="URL"/>
    <tableColumn id="3" xr3:uid="{09BBB1EE-E6B3-400A-ACD8-0B38435C1FF3}" name="## React" dataDxfId="52">
      <calculatedColumnFormula>$G$1&amp;A9&amp;$H$1&amp;$I$1&amp;B9&amp;$J$1</calculatedColumnFormula>
    </tableColumn>
    <tableColumn id="4" xr3:uid="{6B6C0323-51AD-4E56-A055-BA6C27AEC616}" name="HTML" dataDxfId="10">
      <calculatedColumnFormula>$K$1&amp;B9&amp;$F$1&amp;" "&amp;$L$1&amp;A9&amp;$F$1&amp;$M$1&amp;A9&amp;$N$1</calculatedColumnFormula>
    </tableColumn>
  </tableColumns>
  <tableStyleInfo name="TableStyleMedium2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59C730DB-EEF8-4BE1-9767-5E36351F0E01}" name="Outlook" displayName="Outlook" ref="A12:D13" totalsRowShown="0">
  <autoFilter ref="A12:D13" xr:uid="{E4ACF07B-9CA5-40BB-ADBE-019B761A4AAD}"/>
  <tableColumns count="4">
    <tableColumn id="1" xr3:uid="{4097540E-9E12-4356-85E0-7F22D242AEDA}" name="Outlook:"/>
    <tableColumn id="2" xr3:uid="{DAEACB1A-87F5-4BA7-AF3E-A057CF0BAC8F}" name="URL"/>
    <tableColumn id="3" xr3:uid="{059321B0-6067-494E-81CA-26D04A9C967B}" name="## Outlook">
      <calculatedColumnFormula>$G$1&amp;A13&amp;$H$1&amp;$I$1&amp;B13&amp;$J$1</calculatedColumnFormula>
    </tableColumn>
    <tableColumn id="4" xr3:uid="{ECDA7486-FFDA-4211-8DFA-2C975CB87111}" name="HTML">
      <calculatedColumnFormula>$K$1&amp;B13&amp;$F$1&amp;" "&amp;$L$1&amp;A13&amp;$F$1&amp;$M$1&amp;A13&amp;$N$1</calculatedColumnFormula>
    </tableColumn>
  </tableColumns>
  <tableStyleInfo name="TableStyleMedium2" showFirstColumn="0" showLastColumn="0" showRowStripes="1" showColumnStripes="0"/>
</table>
</file>

<file path=xl/tables/table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" xr:uid="{007B2306-A0FB-437D-9F20-284277BC6863}" name="Compatability" displayName="Compatability" ref="A15:D17" totalsRowShown="0">
  <autoFilter ref="A15:D17" xr:uid="{653DD187-9BEB-4E32-964E-7AC26ABBCF23}"/>
  <tableColumns count="4">
    <tableColumn id="1" xr3:uid="{25E190CC-B39F-4314-9CF1-1E897286DC29}" name="Compatibility Tests"/>
    <tableColumn id="2" xr3:uid="{2E51B49D-929D-4C80-8547-ED317BF90D41}" name="URL"/>
    <tableColumn id="3" xr3:uid="{00C7AFF7-7449-47B4-A0EB-CE8105875A30}" name="## Compatibility" dataDxfId="51">
      <calculatedColumnFormula>$G$1&amp;A16&amp;$H$1&amp;$I$1&amp;B16&amp;$J$1</calculatedColumnFormula>
    </tableColumn>
    <tableColumn id="4" xr3:uid="{AB2ADC4F-0006-4C2E-884B-3CE5C7D7210E}" name="HTML" dataDxfId="9">
      <calculatedColumnFormula>$K$1&amp;B16&amp;$F$1&amp;" "&amp;$L$1&amp;A16&amp;$F$1&amp;$M$1&amp;A16&amp;$N$1</calculatedColumnFormula>
    </tableColumn>
  </tableColumns>
  <tableStyleInfo name="TableStyleMedium2" showFirstColumn="0" showLastColumn="0" showRowStripes="1" showColumnStripes="0"/>
</table>
</file>

<file path=xl/tables/table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5" xr:uid="{BC1E1EBD-25A0-489E-B0EC-01BBCBC3AC48}" name="WebDev" displayName="WebDev" ref="A19:D33" totalsRowShown="0">
  <autoFilter ref="A19:D33" xr:uid="{FD80B68F-B3B8-4FE7-B948-3E4EA6AAE8B7}"/>
  <tableColumns count="4">
    <tableColumn id="1" xr3:uid="{B294FC33-E053-4555-B4C4-D3607C8AA68A}" name="Web Development"/>
    <tableColumn id="2" xr3:uid="{6D78910A-3DB5-4689-9A67-5BBB1B1FE0A8}" name="URL"/>
    <tableColumn id="3" xr3:uid="{2C390974-4A29-4197-884D-8B7A28F8A37D}" name="## Web Dev" dataDxfId="50">
      <calculatedColumnFormula>$G$1&amp;A20&amp;$H$1&amp;$I$1&amp;B20&amp;$J$1</calculatedColumnFormula>
    </tableColumn>
    <tableColumn id="4" xr3:uid="{6061ECA2-B39A-4559-BED4-35EE1C93739A}" name="HTML" dataDxfId="8">
      <calculatedColumnFormula>$K$1&amp;B20&amp;$F$1&amp;" "&amp;$L$1&amp;A20&amp;$F$1&amp;$M$1&amp;A20&amp;$N$1</calculatedColumnFormula>
    </tableColumn>
  </tableColumns>
  <tableStyleInfo name="TableStyleMedium2" showFirstColumn="0" showLastColumn="0" showRowStripes="1" showColumnStripes="0"/>
</table>
</file>

<file path=xl/tables/table6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6" xr:uid="{924D70B0-3B58-475C-96B3-EE1F1E514053}" name="API" displayName="API" ref="A35:D40" totalsRowShown="0">
  <autoFilter ref="A35:D40" xr:uid="{29A667F1-DF35-4C10-BD79-3620A2261426}"/>
  <tableColumns count="4">
    <tableColumn id="1" xr3:uid="{56F6F19B-8E0E-40E8-8AE2-BEA6C6FABD44}" name="APIs"/>
    <tableColumn id="2" xr3:uid="{7FA08415-189E-48D5-AF4A-1F3BE41F5F08}" name="URL"/>
    <tableColumn id="3" xr3:uid="{0A525836-C6FA-45BC-9745-FA1588506F26}" name="## API" dataDxfId="49">
      <calculatedColumnFormula>$G$1&amp;A36&amp;$H$1&amp;$I$1&amp;B36&amp;$J$1</calculatedColumnFormula>
    </tableColumn>
    <tableColumn id="4" xr3:uid="{DE9993F7-7391-4BE0-A574-D130ABA1CE4B}" name="HTML" dataDxfId="7">
      <calculatedColumnFormula>$K$1&amp;B36&amp;$F$1&amp;" "&amp;$L$1&amp;A36&amp;$F$1&amp;$M$1&amp;A36&amp;$N$1</calculatedColumnFormula>
    </tableColumn>
  </tableColumns>
  <tableStyleInfo name="TableStyleMedium2" showFirstColumn="0" showLastColumn="0" showRowStripes="1" showColumnStripes="0"/>
</table>
</file>

<file path=xl/tables/table7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7" xr:uid="{1F5537C6-6AA1-4DD5-830F-4209A058AAD2}" name="Finance" displayName="Finance" ref="A42:D44" totalsRowShown="0">
  <autoFilter ref="A42:D44" xr:uid="{FB849F40-19B0-41E7-B86C-B700FD985E88}"/>
  <tableColumns count="4">
    <tableColumn id="1" xr3:uid="{DEB2531E-F61F-43BC-9778-8716BA062160}" name="Finance2"/>
    <tableColumn id="2" xr3:uid="{C9E19E67-0EE7-4CFC-B340-AD1E9E6FD5CA}" name="URL"/>
    <tableColumn id="3" xr3:uid="{13B6E020-5230-4909-B001-C5798A28DEEE}" name="## Finance" dataDxfId="48">
      <calculatedColumnFormula>$G$1&amp;A43&amp;$H$1&amp;$I$1&amp;B43&amp;$J$1</calculatedColumnFormula>
    </tableColumn>
    <tableColumn id="4" xr3:uid="{83F5C0D3-4B3A-4DEF-A5D0-4C1117224DDD}" name="HTML" dataDxfId="6">
      <calculatedColumnFormula>$K$1&amp;B43&amp;$F$1&amp;" "&amp;$L$1&amp;A43&amp;$F$1&amp;$M$1&amp;A43&amp;$N$1</calculatedColumnFormula>
    </tableColumn>
  </tableColumns>
  <tableStyleInfo name="TableStyleMedium2" showFirstColumn="0" showLastColumn="0" showRowStripes="1" showColumnStripes="0"/>
</table>
</file>

<file path=xl/tables/table8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8" xr:uid="{22C455EF-4B6F-4425-A161-A466D8144D17}" name="ExcelBI" displayName="ExcelBI" ref="A46:D54" totalsRowShown="0">
  <autoFilter ref="A46:D54" xr:uid="{EBFFE740-FB54-459D-B8F7-2F0E4510E2A5}"/>
  <tableColumns count="4">
    <tableColumn id="1" xr3:uid="{BD7482A8-6A2E-4122-AC5E-508F32DFE8C2}" name="Excel / PBI"/>
    <tableColumn id="2" xr3:uid="{00897861-C876-450A-A5C1-637CE126D113}" name="URL"/>
    <tableColumn id="3" xr3:uid="{71B2B525-CC9D-47AB-B077-1F0CA27F1DBB}" name="## Excel / BI" dataDxfId="47">
      <calculatedColumnFormula>$G$1&amp;A47&amp;$H$1&amp;$I$1&amp;B47&amp;$J$1</calculatedColumnFormula>
    </tableColumn>
    <tableColumn id="4" xr3:uid="{7A8D2E06-1965-4A52-A552-CFAB0FB42DBA}" name="HTML" dataDxfId="5">
      <calculatedColumnFormula>$K$1&amp;B47&amp;$F$1&amp;" "&amp;$L$1&amp;A47&amp;$F$1&amp;$M$1&amp;A47&amp;$N$1</calculatedColumnFormula>
    </tableColumn>
  </tableColumns>
  <tableStyleInfo name="TableStyleMedium2" showFirstColumn="0" showLastColumn="0" showRowStripes="1" showColumnStripes="0"/>
</table>
</file>

<file path=xl/tables/table9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9" xr:uid="{5C25E1C6-0531-4FC3-9CC7-287BE2BA4C0D}" name="VBA" displayName="VBA" ref="A56:D71" totalsRowShown="0">
  <autoFilter ref="A56:D71" xr:uid="{EC605017-2858-49E0-B8EF-087B8FBF0155}"/>
  <tableColumns count="4">
    <tableColumn id="1" xr3:uid="{7FD882E9-0EEC-402E-AA09-E25D0244DA11}" name="VBA"/>
    <tableColumn id="2" xr3:uid="{587E53BD-39E4-4748-B9AF-73CF1F4AB43C}" name="URL"/>
    <tableColumn id="3" xr3:uid="{CBD3C008-0206-457A-864A-18EB6AFD026B}" name="## Visual Basic" dataDxfId="46">
      <calculatedColumnFormula>$G$1&amp;A57&amp;$H$1&amp;$I$1&amp;B57&amp;$J$1</calculatedColumnFormula>
    </tableColumn>
    <tableColumn id="4" xr3:uid="{E9FFA52E-48A6-45D5-B0A8-EACFD260A4B0}" name="HTML" dataDxfId="4">
      <calculatedColumnFormula>$K$1&amp;B57&amp;$F$1&amp;" "&amp;$L$1&amp;A57&amp;$F$1&amp;$M$1&amp;A57&amp;$N$1</calculatedColumnFormula>
    </tableColumn>
  </tableColumns>
  <tableStyleInfo name="TableStyleMedium2" showFirstColumn="0" showLastColumn="0" showRowStripes="1" showColumnStripes="0"/>
</table>
</file>

<file path=xl/tables/table10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0" xr:uid="{C7D92A28-7B61-4505-983B-492942AED59F}" name="SQL" displayName="SQL" ref="A73:D75" totalsRowShown="0">
  <autoFilter ref="A73:D75" xr:uid="{27F4F1A6-F438-498F-B2C4-623A7CB4926C}"/>
  <tableColumns count="4">
    <tableColumn id="1" xr3:uid="{48C66D3E-6A5B-4EE7-92BE-24A8580F49C6}" name="md"/>
    <tableColumn id="2" xr3:uid="{DA2CCDD1-9FFA-4B31-9CCE-D185823C6B01}" name="URL"/>
    <tableColumn id="3" xr3:uid="{D024A697-8025-4F80-921E-8F7E24BACF79}" name="## SQL" dataDxfId="45">
      <calculatedColumnFormula>$G$1&amp;A74&amp;$H$1&amp;$I$1&amp;B74&amp;$J$1</calculatedColumnFormula>
    </tableColumn>
    <tableColumn id="4" xr3:uid="{504BB95C-1C48-4719-85FE-403D2BD1BCAA}" name="HTML" dataDxfId="3">
      <calculatedColumnFormula>$K$1&amp;B74&amp;$F$1&amp;" "&amp;$L$1&amp;A74&amp;$F$1&amp;$M$1&amp;A74&amp;$N$1</calculatedColumnFormula>
    </tableColumn>
  </tableColumns>
  <tableStyleInfo name="TableStyleMedium2" showFirstColumn="0" showLastColumn="0" showRowStripes="1" showColumnStripes="0"/>
</table>
</file>

<file path=xl/tables/table1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1" xr:uid="{F29F8C80-5C7B-4013-90C0-27D2FC5E10AD}" name="Git" displayName="Git" ref="A77:D79" totalsRowShown="0">
  <autoFilter ref="A77:D79" xr:uid="{08EA356B-E0B9-4CD3-B2C5-CEE9EA9CB970}"/>
  <tableColumns count="4">
    <tableColumn id="1" xr3:uid="{DD38E674-AC91-4D42-96D9-5917F741D553}" name="md"/>
    <tableColumn id="2" xr3:uid="{5BB60EED-44CB-4B26-8BA2-274232498915}" name="URL"/>
    <tableColumn id="3" xr3:uid="{90B0674E-3B15-43E1-BA41-0223A4306D59}" name="## Git" dataDxfId="44">
      <calculatedColumnFormula>$G$1&amp;A78&amp;$H$1&amp;$I$1&amp;B78&amp;$J$1</calculatedColumnFormula>
    </tableColumn>
    <tableColumn id="4" xr3:uid="{3AA21F44-FF18-4FDB-A7EC-47658978746B}" name="HTML" dataDxfId="2">
      <calculatedColumnFormula>$K$1&amp;B78&amp;$F$1&amp;" "&amp;$L$1&amp;A78&amp;$F$1&amp;$M$1&amp;A78&amp;$N$1</calculatedColumnFormula>
    </tableColumn>
  </tableColumns>
  <tableStyleInfo name="TableStyleMedium2" showFirstColumn="0" showLastColumn="0" showRowStripes="1" showColumnStripes="0"/>
</table>
</file>

<file path=xl/tables/table1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2" xr:uid="{ED657DA8-9639-405F-8D8B-F67C0CF4C815}" name="Gatsby" displayName="Gatsby" ref="A81:D82" totalsRowShown="0">
  <autoFilter ref="A81:D82" xr:uid="{0C94D927-CC64-478D-8C76-08199341B0EF}"/>
  <tableColumns count="4">
    <tableColumn id="1" xr3:uid="{3C7AD9CE-524C-4A5D-8764-6CD17F5EF061}" name="md"/>
    <tableColumn id="2" xr3:uid="{F1FE9730-36B1-49F4-B476-07E487496DBB}" name="URL"/>
    <tableColumn id="3" xr3:uid="{B271D400-D0C5-4850-AC67-3CED4B90E4BA}" name="## Gatsby">
      <calculatedColumnFormula>$G$1&amp;A82&amp;$H$1&amp;$I$1&amp;B82&amp;$J$1</calculatedColumnFormula>
    </tableColumn>
    <tableColumn id="4" xr3:uid="{CF61FAEC-0067-4063-BABF-146F74DDE93F}" name="HTML">
      <calculatedColumnFormula>$K$1&amp;B82&amp;$F$1&amp;" "&amp;$L$1&amp;A82&amp;$F$1&amp;$M$1&amp;A82&amp;$N$1</calculatedColumnFormula>
    </tableColumn>
  </tableColumns>
  <tableStyleInfo name="TableStyleMedium2" showFirstColumn="0" showLastColumn="0" showRowStripes="1" showColumnStripes="0"/>
</table>
</file>

<file path=xl/tables/table1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3" xr:uid="{97CABFF0-618E-4BA6-9C92-0961981085FE}" name="RStudio" displayName="RStudio" ref="A84:D88" totalsRowShown="0">
  <autoFilter ref="A84:D88" xr:uid="{0EB4A601-BA26-4662-AB09-B347FEE1B5A7}"/>
  <tableColumns count="4">
    <tableColumn id="1" xr3:uid="{DCF865C7-9C4A-4CE8-B485-75AF3EF34A0C}" name="R2"/>
    <tableColumn id="2" xr3:uid="{05D6F888-D579-4EEA-A7A7-2B6056262D96}" name="URL"/>
    <tableColumn id="3" xr3:uid="{74F3F724-752A-4F38-8712-DD0DDE45CFE8}" name="## R" dataDxfId="43">
      <calculatedColumnFormula>$G$1&amp;A85&amp;$H$1&amp;$I$1&amp;B85&amp;$J$1</calculatedColumnFormula>
    </tableColumn>
    <tableColumn id="4" xr3:uid="{C9A51418-C24C-44CD-A2A5-9F19B08C3F20}" name="HTML" dataDxfId="1">
      <calculatedColumnFormula>$K$1&amp;B85&amp;$F$1&amp;" "&amp;$L$1&amp;A85&amp;$F$1&amp;$M$1&amp;A85&amp;$N$1</calculatedColumnFormula>
    </tableColumn>
  </tableColumns>
  <tableStyleInfo name="TableStyleMedium2" showFirstColumn="0" showLastColumn="0" showRowStripes="1" showColumnStripes="0"/>
</table>
</file>

<file path=xl/tables/table1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4" xr:uid="{193CAFF5-7D25-49DC-AE45-C0AFDA727F60}" name="Python" displayName="Python" ref="A90:D91" totalsRowShown="0">
  <autoFilter ref="A90:D91" xr:uid="{4D5F1077-D012-4996-9327-4E3880749E20}"/>
  <tableColumns count="4">
    <tableColumn id="1" xr3:uid="{3EBD3071-D7BD-452A-ACBB-729883777417}" name="python2"/>
    <tableColumn id="2" xr3:uid="{723F3785-304B-450F-90C2-668E69D8067D}" name="URL"/>
    <tableColumn id="3" xr3:uid="{945BFA8E-A66D-4DF5-B511-ECDEE71F0E83}" name="## Python">
      <calculatedColumnFormula>$G$1&amp;A91&amp;$H$1&amp;$I$1&amp;B91&amp;$J$1</calculatedColumnFormula>
    </tableColumn>
    <tableColumn id="4" xr3:uid="{023C7773-1BE0-4D2A-A554-D831E3BC3F83}" name="HTML">
      <calculatedColumnFormula>$K$1&amp;B91&amp;$F$1&amp;" "&amp;$L$1&amp;A91&amp;$F$1&amp;$M$1&amp;A91&amp;$N$1</calculatedColumnFormula>
    </tableColumn>
  </tableColumns>
  <tableStyleInfo name="TableStyleMedium2" showFirstColumn="0" showLastColumn="0" showRowStripes="1" showColumnStripes="0"/>
</table>
</file>

<file path=xl/tables/table1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5" xr:uid="{7428D79A-8A97-45A8-8ECF-DAC21EBF726B}" name="Domain" displayName="Domain" ref="A93:D97" totalsRowShown="0">
  <autoFilter ref="A93:D97" xr:uid="{77FCE28F-5AC6-41A3-8E6A-341C461C9974}"/>
  <tableColumns count="4">
    <tableColumn id="1" xr3:uid="{B83651A3-0C66-4941-B2F3-05B36B2C3A39}" name="Domain / Network Management"/>
    <tableColumn id="2" xr3:uid="{78E6EDF6-6BD1-4E03-B92A-FB60963112D3}" name="URL"/>
    <tableColumn id="3" xr3:uid="{7083C1A2-C529-4396-B908-60C3A25B01A6}" name="## Network" dataDxfId="42">
      <calculatedColumnFormula>$G$1&amp;A94&amp;$H$1&amp;$I$1&amp;B94&amp;$J$1</calculatedColumnFormula>
    </tableColumn>
    <tableColumn id="4" xr3:uid="{96EF93D2-AF24-4480-80C0-318C800F02B5}" name="HTML" dataDxfId="0">
      <calculatedColumnFormula>$K$1&amp;B94&amp;$F$1&amp;" "&amp;$L$1&amp;A94&amp;$F$1&amp;$M$1&amp;A94&amp;$N$1</calculatedColumnFormula>
    </tableColumn>
  </tableColumns>
  <tableStyleInfo name="TableStyleMedium2" showFirstColumn="0" showLastColumn="0" showRowStripes="1" showColumnStripes="0"/>
</table>
</file>

<file path=xl/tables/table16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6" xr:uid="{9441C05B-0D88-4143-9291-58111AFD07C1}" name="Other" displayName="Other" ref="A99:D100" totalsRowShown="0">
  <autoFilter ref="A99:D100" xr:uid="{8FCB13EC-D3DE-48C0-B5EF-1EA7D76DCC75}"/>
  <tableColumns count="4">
    <tableColumn id="1" xr3:uid="{16EDDBC3-F5BE-48F0-B1E8-00378EE32532}" name="Other2"/>
    <tableColumn id="2" xr3:uid="{F2A6C320-5B15-4B25-8EAC-BFF2E4A6C38D}" name="URL"/>
    <tableColumn id="3" xr3:uid="{504786B6-E2E3-47A0-A9AE-39C578175274}" name="## Other">
      <calculatedColumnFormula>$G$1&amp;A100&amp;$H$1&amp;$I$1&amp;B100&amp;$J$1</calculatedColumnFormula>
    </tableColumn>
    <tableColumn id="4" xr3:uid="{C809080B-6658-4AFF-A512-CA2EE859EC4D}" name="HTML">
      <calculatedColumnFormula>$K$1&amp;B100&amp;$F$1&amp;" "&amp;$L$1&amp;A100&amp;$F$1&amp;$M$1&amp;A100&amp;$N$1</calculatedColumnFormula>
    </tableColumn>
  </tableColumns>
  <tableStyleInfo name="TableStyleMedium2" showFirstColumn="0" showLastColumn="0" showRowStripes="1" showColumnStripes="0"/>
</table>
</file>

<file path=xl/tables/table17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7" xr:uid="{E3D8B808-1D29-4DA8-A0AD-5539A7628868}" name="Table17" displayName="Table17" ref="A2:D8" totalsRowShown="0" headerRowDxfId="38" dataDxfId="39">
  <autoFilter ref="A2:D8" xr:uid="{337884E3-54B0-4FC0-9759-DCCC0462898A}"/>
  <tableColumns count="4">
    <tableColumn id="1" xr3:uid="{68261A04-0524-4901-B5F6-2CD25A7DC61F}" name="Title" dataDxfId="41" dataCellStyle="Hyperlink"/>
    <tableColumn id="2" xr3:uid="{2568BC76-F702-482F-A19A-ED810DE62EDF}" name="URL" dataDxfId="40"/>
    <tableColumn id="3" xr3:uid="{4AA1ABE4-FBD4-428E-A1A0-2D4ECECA70A5}" name="Excel" dataDxfId="21">
      <calculatedColumnFormula>$B$1&amp;A3&amp;$C$1&amp;$D$1&amp;B3&amp;$E$1</calculatedColumnFormula>
    </tableColumn>
    <tableColumn id="4" xr3:uid="{110121C7-A1B5-42A9-9BC5-D85E1B9546AC}" name="HTML" dataDxfId="16">
      <calculatedColumnFormula>$F$1&amp;B3&amp;$A$1&amp;" "&amp;$G$1&amp;A3&amp;$A$1&amp;$H$1&amp;A3&amp;$I$1</calculatedColumnFormula>
    </tableColumn>
  </tableColumns>
  <tableStyleInfo name="TableStyleMedium2" showFirstColumn="0" showLastColumn="0" showRowStripes="1" showColumnStripes="0"/>
</table>
</file>

<file path=xl/tables/table18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8" xr:uid="{F9965D20-3058-40CB-B4E8-7A129E4C87A0}" name="Table18" displayName="Table18" ref="A10:D13" totalsRowShown="0" headerRowDxfId="34" dataDxfId="35">
  <autoFilter ref="A10:D13" xr:uid="{2FF22E86-B52B-4FD8-AA96-CE4096E1BF0F}"/>
  <tableColumns count="4">
    <tableColumn id="1" xr3:uid="{3429A8FE-79EB-4596-9083-8803792254DA}" name="Title" dataDxfId="37" dataCellStyle="Hyperlink"/>
    <tableColumn id="2" xr3:uid="{41C100A3-9E81-46E6-97DC-08E48ED68B0B}" name="URL" dataDxfId="36"/>
    <tableColumn id="3" xr3:uid="{DFC66121-8388-423C-AFAC-CA54B6BB5481}" name="R" dataDxfId="20">
      <calculatedColumnFormula>$B$1&amp;A11&amp;$C$1&amp;$D$1&amp;B11&amp;$E$1</calculatedColumnFormula>
    </tableColumn>
    <tableColumn id="4" xr3:uid="{38EF7866-997C-4456-BC16-AF98D9AB6135}" name="HTML" dataDxfId="15">
      <calculatedColumnFormula>$F$1&amp;B11&amp;$A$1&amp;" "&amp;$G$1&amp;A11&amp;$A$1&amp;$H$1&amp;A11&amp;$I$1</calculatedColumnFormula>
    </tableColumn>
  </tableColumns>
  <tableStyleInfo name="TableStyleMedium2" showFirstColumn="0" showLastColumn="0" showRowStripes="1" showColumnStripes="0"/>
</table>
</file>

<file path=xl/tables/table19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9" xr:uid="{B992CB1F-D6FA-4BD0-A5AC-CDA4ED689304}" name="Table19" displayName="Table19" ref="A15:D22" totalsRowShown="0" headerRowDxfId="30" dataDxfId="31">
  <autoFilter ref="A15:D22" xr:uid="{019A4698-919F-466B-820E-68FCACC9C757}"/>
  <tableColumns count="4">
    <tableColumn id="1" xr3:uid="{6236B77B-A348-4387-A72A-78B5C39CD36E}" name="Title" dataDxfId="33" dataCellStyle="Hyperlink"/>
    <tableColumn id="2" xr3:uid="{55882EF8-F336-4678-A383-39408AFCBAF4}" name="URL" dataDxfId="32"/>
    <tableColumn id="3" xr3:uid="{4DB4E450-CC2E-43DC-BE9A-1067B1C895CE}" name="Web Dev" dataDxfId="19">
      <calculatedColumnFormula>$B$1&amp;A16&amp;$C$1&amp;$D$1&amp;B16&amp;$E$1</calculatedColumnFormula>
    </tableColumn>
    <tableColumn id="4" xr3:uid="{4749C1BE-FC1F-4BD6-BC2C-393827110C82}" name="HTML" dataDxfId="14">
      <calculatedColumnFormula>$F$1&amp;B16&amp;$A$1&amp;" "&amp;$G$1&amp;A16&amp;$A$1&amp;$H$1&amp;A16&amp;$I$1</calculatedColumnFormula>
    </tableColumn>
  </tableColumns>
  <tableStyleInfo name="TableStyleMedium2" showFirstColumn="0" showLastColumn="0" showRowStripes="1" showColumnStripes="0"/>
</table>
</file>

<file path=xl/tables/table20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0" xr:uid="{7C381CB8-F91B-4D1E-96B6-F28DEEC32C24}" name="Table20" displayName="Table20" ref="A32:D43" totalsRowShown="0" headerRowDxfId="26" dataDxfId="27">
  <autoFilter ref="A32:D43" xr:uid="{B01584FD-CF39-4B4B-858A-3CC52BB0E56D}"/>
  <tableColumns count="4">
    <tableColumn id="1" xr3:uid="{6402C3F0-EDFE-4094-93CC-863962F31A98}" name="Title" dataDxfId="29" dataCellStyle="Hyperlink"/>
    <tableColumn id="2" xr3:uid="{659E0DFD-2814-4046-8B97-FFF7DB5CE0F2}" name="URL" dataDxfId="28"/>
    <tableColumn id="3" xr3:uid="{8138EB9D-FA00-4828-96D8-8706EF4813A3}" name="MVP Blogs" dataDxfId="17">
      <calculatedColumnFormula>$B$1&amp;A33&amp;$C$1&amp;$D$1&amp;B33&amp;$E$1</calculatedColumnFormula>
    </tableColumn>
    <tableColumn id="4" xr3:uid="{A4EF497F-342A-4ADE-9ED5-DDE199B91FC7}" name="HTML" dataDxfId="12">
      <calculatedColumnFormula>$F$1&amp;B33&amp;$A$1&amp;" "&amp;$G$1&amp;A33&amp;$A$1&amp;$H$1&amp;A33&amp;$I$1</calculatedColumnFormula>
    </tableColumn>
  </tableColumns>
  <tableStyleInfo name="TableStyleMedium2" showFirstColumn="0" showLastColumn="0" showRowStripes="1" showColumnStripes="0"/>
</table>
</file>

<file path=xl/tables/table2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1" xr:uid="{7A9F1FF5-F691-46F5-88D9-548D349E8254}" name="Table21" displayName="Table21" ref="A24:D30" totalsRowShown="0" headerRowDxfId="22" dataDxfId="23">
  <autoFilter ref="A24:D30" xr:uid="{9364D391-D858-4AA0-8832-D8B60981F985}"/>
  <tableColumns count="4">
    <tableColumn id="1" xr3:uid="{B6C14F10-2E96-4129-96D8-077B7F6D7693}" name="Title" dataDxfId="25" dataCellStyle="Hyperlink"/>
    <tableColumn id="2" xr3:uid="{ADC14B7B-8641-4B08-BF36-D883E12AF842}" name="URL" dataDxfId="24"/>
    <tableColumn id="3" xr3:uid="{1046E9D9-DCA8-41C7-85C1-738AFAE28255}" name="Forums (Excel and Power BI)" dataDxfId="18">
      <calculatedColumnFormula>$B$1&amp;A25&amp;$C$1&amp;$D$1&amp;B25&amp;$E$1</calculatedColumnFormula>
    </tableColumn>
    <tableColumn id="4" xr3:uid="{58816833-BFDA-4AF7-949F-70FE85523EC7}" name="HTML" dataDxfId="13">
      <calculatedColumnFormula>$F$1&amp;B25&amp;$A$1&amp;" "&amp;$G$1&amp;A25&amp;$A$1&amp;$H$1&amp;A25&amp;$I$1</calculatedColumnFormula>
    </tableColumn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table" Target="../tables/table8.xml"/><Relationship Id="rId13" Type="http://schemas.openxmlformats.org/officeDocument/2006/relationships/table" Target="../tables/table13.xml"/><Relationship Id="rId3" Type="http://schemas.openxmlformats.org/officeDocument/2006/relationships/table" Target="../tables/table3.xml"/><Relationship Id="rId7" Type="http://schemas.openxmlformats.org/officeDocument/2006/relationships/table" Target="../tables/table7.xml"/><Relationship Id="rId12" Type="http://schemas.openxmlformats.org/officeDocument/2006/relationships/table" Target="../tables/table12.xml"/><Relationship Id="rId2" Type="http://schemas.openxmlformats.org/officeDocument/2006/relationships/table" Target="../tables/table2.xml"/><Relationship Id="rId16" Type="http://schemas.openxmlformats.org/officeDocument/2006/relationships/table" Target="../tables/table16.xml"/><Relationship Id="rId1" Type="http://schemas.openxmlformats.org/officeDocument/2006/relationships/table" Target="../tables/table1.xml"/><Relationship Id="rId6" Type="http://schemas.openxmlformats.org/officeDocument/2006/relationships/table" Target="../tables/table6.xml"/><Relationship Id="rId11" Type="http://schemas.openxmlformats.org/officeDocument/2006/relationships/table" Target="../tables/table11.xml"/><Relationship Id="rId5" Type="http://schemas.openxmlformats.org/officeDocument/2006/relationships/table" Target="../tables/table5.xml"/><Relationship Id="rId15" Type="http://schemas.openxmlformats.org/officeDocument/2006/relationships/table" Target="../tables/table15.xml"/><Relationship Id="rId10" Type="http://schemas.openxmlformats.org/officeDocument/2006/relationships/table" Target="../tables/table10.xml"/><Relationship Id="rId4" Type="http://schemas.openxmlformats.org/officeDocument/2006/relationships/table" Target="../tables/table4.xml"/><Relationship Id="rId9" Type="http://schemas.openxmlformats.org/officeDocument/2006/relationships/table" Target="../tables/table9.xml"/><Relationship Id="rId14" Type="http://schemas.openxmlformats.org/officeDocument/2006/relationships/table" Target="../tables/table14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table" Target="../tables/table19.xml"/><Relationship Id="rId2" Type="http://schemas.openxmlformats.org/officeDocument/2006/relationships/table" Target="../tables/table18.xml"/><Relationship Id="rId1" Type="http://schemas.openxmlformats.org/officeDocument/2006/relationships/table" Target="../tables/table17.xml"/><Relationship Id="rId5" Type="http://schemas.openxmlformats.org/officeDocument/2006/relationships/table" Target="../tables/table21.xml"/><Relationship Id="rId4" Type="http://schemas.openxmlformats.org/officeDocument/2006/relationships/table" Target="../tables/table20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B0FD036-CF94-43A4-94A1-47DD13F3E40F}">
  <sheetPr codeName="Sheet2"/>
  <dimension ref="A1:N100"/>
  <sheetViews>
    <sheetView tabSelected="1" workbookViewId="0">
      <selection activeCell="E100" sqref="E100"/>
    </sheetView>
  </sheetViews>
  <sheetFormatPr defaultRowHeight="14.5" x14ac:dyDescent="0.35"/>
  <cols>
    <col min="1" max="1" width="30.1796875" customWidth="1"/>
    <col min="3" max="3" width="12" customWidth="1"/>
  </cols>
  <sheetData>
    <row r="1" spans="1:14" x14ac:dyDescent="0.35">
      <c r="A1" s="2" t="s">
        <v>0</v>
      </c>
      <c r="B1" t="s">
        <v>144</v>
      </c>
      <c r="C1" t="s">
        <v>157</v>
      </c>
      <c r="D1" t="s">
        <v>173</v>
      </c>
      <c r="F1" t="s">
        <v>149</v>
      </c>
      <c r="G1" t="s">
        <v>145</v>
      </c>
      <c r="H1" t="s">
        <v>146</v>
      </c>
      <c r="I1" t="s">
        <v>147</v>
      </c>
      <c r="J1" t="s">
        <v>148</v>
      </c>
      <c r="K1" t="s">
        <v>174</v>
      </c>
      <c r="L1" t="s">
        <v>175</v>
      </c>
      <c r="M1" t="s">
        <v>176</v>
      </c>
      <c r="N1" t="s">
        <v>248</v>
      </c>
    </row>
    <row r="2" spans="1:14" x14ac:dyDescent="0.35">
      <c r="A2" t="s">
        <v>1</v>
      </c>
      <c r="B2" t="s">
        <v>77</v>
      </c>
      <c r="C2" t="str">
        <f>$G$1&amp;A2&amp;$H$1&amp;$I$1&amp;B2&amp;$J$1</f>
        <v>[KCTech Partners](http://www.kctechcouncil.com/partners)</v>
      </c>
      <c r="D2" t="str">
        <f t="shared" ref="D2:D6" si="0">$K$1&amp;B2&amp;$F$1&amp;" "&amp;$L$1&amp;A2&amp;$F$1&amp;$M$1&amp;A2&amp;$N$1</f>
        <v>&lt;a href="http://www.kctechcouncil.com/partners" alt="KCTech Partners"&gt;KCTech Partners&lt;/a&gt;&lt;br/&gt;</v>
      </c>
    </row>
    <row r="3" spans="1:14" x14ac:dyDescent="0.35">
      <c r="A3" t="s">
        <v>2</v>
      </c>
      <c r="B3" t="s">
        <v>85</v>
      </c>
      <c r="C3" t="str">
        <f>$G$1&amp;A3&amp;$H$1&amp;$I$1&amp;B3&amp;$J$1</f>
        <v>[Kansas Works](https://www.kansasworks.com/ada/r/jobs/10621165)</v>
      </c>
      <c r="D3" t="str">
        <f t="shared" si="0"/>
        <v>&lt;a href="https://www.kansasworks.com/ada/r/jobs/10621165" alt="Kansas Works"&gt;Kansas Works&lt;/a&gt;&lt;br/&gt;</v>
      </c>
    </row>
    <row r="4" spans="1:14" x14ac:dyDescent="0.35">
      <c r="A4" t="s">
        <v>3</v>
      </c>
      <c r="B4" t="s">
        <v>86</v>
      </c>
      <c r="C4" t="str">
        <f>$G$1&amp;A4&amp;$H$1&amp;$I$1&amp;B4&amp;$J$1</f>
        <v>[Library Special Populations](https://www.kclibrary.org/business-career/find-job/find-employment-special-populations)</v>
      </c>
      <c r="D4" t="str">
        <f t="shared" si="0"/>
        <v>&lt;a href="https://www.kclibrary.org/business-career/find-job/find-employment-special-populations" alt="Library Special Populations"&gt;Library Special Populations&lt;/a&gt;&lt;br/&gt;</v>
      </c>
    </row>
    <row r="5" spans="1:14" x14ac:dyDescent="0.35">
      <c r="A5" t="s">
        <v>4</v>
      </c>
      <c r="B5" t="s">
        <v>87</v>
      </c>
      <c r="C5" t="str">
        <f>$G$1&amp;A5&amp;$H$1&amp;$I$1&amp;B5&amp;$J$1</f>
        <v>[/r/ Programming Principals that Helped Me](https://www.reddit.com/r/learnprogramming/comments/8kvo5s/programming_principles_that_helped_me/?st=JHFQLU5J&amp;sh=aa898404)</v>
      </c>
      <c r="D5" t="str">
        <f t="shared" si="0"/>
        <v>&lt;a href="https://www.reddit.com/r/learnprogramming/comments/8kvo5s/programming_principles_that_helped_me/?st=JHFQLU5J&amp;sh=aa898404" alt="/r/ Programming Principals that Helped Me"&gt;/r/ Programming Principals that Helped Me&lt;/a&gt;&lt;br/&gt;</v>
      </c>
    </row>
    <row r="6" spans="1:14" x14ac:dyDescent="0.35">
      <c r="A6" t="s">
        <v>5</v>
      </c>
      <c r="B6" t="s">
        <v>88</v>
      </c>
      <c r="C6" t="str">
        <f>$G$1&amp;A6&amp;$H$1&amp;$I$1&amp;B6&amp;$J$1</f>
        <v>[Wikipedia Random Article](https://en.wikipedia.org/wiki/Special:Random)</v>
      </c>
      <c r="D6" t="str">
        <f t="shared" si="0"/>
        <v>&lt;a href="https://en.wikipedia.org/wiki/Special:Random" alt="Wikipedia Random Article"&gt;Wikipedia Random Article&lt;/a&gt;&lt;br/&gt;</v>
      </c>
    </row>
    <row r="7" spans="1:14" x14ac:dyDescent="0.35">
      <c r="A7" s="1"/>
    </row>
    <row r="8" spans="1:14" x14ac:dyDescent="0.35">
      <c r="A8" s="2" t="s">
        <v>6</v>
      </c>
      <c r="B8" t="s">
        <v>144</v>
      </c>
      <c r="C8" t="s">
        <v>158</v>
      </c>
      <c r="D8" t="s">
        <v>173</v>
      </c>
    </row>
    <row r="9" spans="1:14" x14ac:dyDescent="0.35">
      <c r="A9" t="s">
        <v>7</v>
      </c>
      <c r="B9" t="s">
        <v>78</v>
      </c>
      <c r="C9" t="str">
        <f>$G$1&amp;A9&amp;$H$1&amp;$I$1&amp;B9&amp;$J$1</f>
        <v>[React JavaScript Tutorial in VS Code](https://code.visualstudio.com/docs/nodejs/reactjs-tutorial)</v>
      </c>
      <c r="D9" t="str">
        <f t="shared" ref="D9:D10" si="1">$K$1&amp;B9&amp;$F$1&amp;" "&amp;$L$1&amp;A9&amp;$F$1&amp;$M$1&amp;A9&amp;$N$1</f>
        <v>&lt;a href="https://code.visualstudio.com/docs/nodejs/reactjs-tutorial" alt="React JavaScript Tutorial in VS Code"&gt;React JavaScript Tutorial in VS Code&lt;/a&gt;&lt;br/&gt;</v>
      </c>
    </row>
    <row r="10" spans="1:14" x14ac:dyDescent="0.35">
      <c r="A10" t="s">
        <v>8</v>
      </c>
      <c r="B10" t="s">
        <v>79</v>
      </c>
      <c r="C10" t="str">
        <f>$G$1&amp;A10&amp;$H$1&amp;$I$1&amp;B10&amp;$J$1</f>
        <v>[Passing JSON Objects as Parameters ](https://stackoverflow.com/questions/5865442/how-to-pass-json-object-as-a-parameter-to-another-method)</v>
      </c>
      <c r="D10" t="str">
        <f t="shared" si="1"/>
        <v>&lt;a href="https://stackoverflow.com/questions/5865442/how-to-pass-json-object-as-a-parameter-to-another-method" alt="Passing JSON Objects as Parameters "&gt;Passing JSON Objects as Parameters &lt;/a&gt;&lt;br/&gt;</v>
      </c>
    </row>
    <row r="11" spans="1:14" x14ac:dyDescent="0.35">
      <c r="A11" s="1"/>
    </row>
    <row r="12" spans="1:14" x14ac:dyDescent="0.35">
      <c r="A12" s="2" t="s">
        <v>9</v>
      </c>
      <c r="B12" t="s">
        <v>144</v>
      </c>
      <c r="C12" t="s">
        <v>159</v>
      </c>
      <c r="D12" t="s">
        <v>173</v>
      </c>
    </row>
    <row r="13" spans="1:14" x14ac:dyDescent="0.35">
      <c r="A13" t="s">
        <v>10</v>
      </c>
      <c r="B13" t="s">
        <v>89</v>
      </c>
      <c r="C13" t="str">
        <f>$G$1&amp;A13&amp;$H$1&amp;$I$1&amp;B13&amp;$J$1</f>
        <v>[Outlook Connectors](https://outlook.office.com/connectors/Home/Login?Client=Win32_Outlook&amp;MailboxAddress=PowellPR%40hawks.rockhurst.edu&amp;Culture=en-US&amp;MailboxType=User&amp;Category=Mail&amp;src=inbox)</v>
      </c>
      <c r="D13" t="str">
        <f t="shared" ref="D13" si="2">$K$1&amp;B13&amp;$F$1&amp;" "&amp;$L$1&amp;A13&amp;$F$1&amp;$M$1&amp;A13&amp;$N$1</f>
        <v>&lt;a href="https://outlook.office.com/connectors/Home/Login?Client=Win32_Outlook&amp;MailboxAddress=PowellPR%40hawks.rockhurst.edu&amp;Culture=en-US&amp;MailboxType=User&amp;Category=Mail&amp;src=inbox" alt="Outlook Connectors"&gt;Outlook Connectors&lt;/a&gt;&lt;br/&gt;</v>
      </c>
    </row>
    <row r="14" spans="1:14" x14ac:dyDescent="0.35">
      <c r="A14" s="1"/>
    </row>
    <row r="15" spans="1:14" x14ac:dyDescent="0.35">
      <c r="A15" s="2" t="s">
        <v>11</v>
      </c>
      <c r="B15" t="s">
        <v>144</v>
      </c>
      <c r="C15" t="s">
        <v>160</v>
      </c>
      <c r="D15" t="s">
        <v>173</v>
      </c>
    </row>
    <row r="16" spans="1:14" x14ac:dyDescent="0.35">
      <c r="A16" t="s">
        <v>12</v>
      </c>
      <c r="B16" t="s">
        <v>90</v>
      </c>
      <c r="C16" t="str">
        <f>$G$1&amp;A16&amp;$H$1&amp;$I$1&amp;B16&amp;$J$1</f>
        <v>[Architect Personality - INTJ](https://www.16personalities.com/intj-personality)</v>
      </c>
      <c r="D16" t="str">
        <f t="shared" ref="D16:D17" si="3">$K$1&amp;B16&amp;$F$1&amp;" "&amp;$L$1&amp;A16&amp;$F$1&amp;$M$1&amp;A16&amp;$N$1</f>
        <v>&lt;a href="https://www.16personalities.com/intj-personality" alt="Architect Personality - INTJ"&gt;Architect Personality - INTJ&lt;/a&gt;&lt;br/&gt;</v>
      </c>
    </row>
    <row r="17" spans="1:4" x14ac:dyDescent="0.35">
      <c r="A17" t="s">
        <v>13</v>
      </c>
      <c r="B17" t="s">
        <v>91</v>
      </c>
      <c r="C17" t="str">
        <f>$G$1&amp;A17&amp;$H$1&amp;$I$1&amp;B17&amp;$J$1</f>
        <v>[IKM SQL Test](https://online.ikmnet.com/test_result/showresult.cfm)</v>
      </c>
      <c r="D17" t="str">
        <f t="shared" si="3"/>
        <v>&lt;a href="https://online.ikmnet.com/test_result/showresult.cfm" alt="IKM SQL Test"&gt;IKM SQL Test&lt;/a&gt;&lt;br/&gt;</v>
      </c>
    </row>
    <row r="18" spans="1:4" x14ac:dyDescent="0.35">
      <c r="A18" s="1"/>
    </row>
    <row r="19" spans="1:4" x14ac:dyDescent="0.35">
      <c r="A19" s="2" t="s">
        <v>14</v>
      </c>
      <c r="B19" t="s">
        <v>144</v>
      </c>
      <c r="C19" t="s">
        <v>161</v>
      </c>
      <c r="D19" t="s">
        <v>173</v>
      </c>
    </row>
    <row r="20" spans="1:4" x14ac:dyDescent="0.35">
      <c r="A20" t="s">
        <v>15</v>
      </c>
      <c r="B20" t="s">
        <v>92</v>
      </c>
      <c r="C20" t="str">
        <f>$G$1&amp;A20&amp;$H$1&amp;$I$1&amp;B20&amp;$J$1</f>
        <v>[Source to Source Compiler](https://en.wikipedia.org/wiki/Source-to-source_compiler)</v>
      </c>
      <c r="D20" t="str">
        <f t="shared" ref="D20:D33" si="4">$K$1&amp;B20&amp;$F$1&amp;" "&amp;$L$1&amp;A20&amp;$F$1&amp;$M$1&amp;A20&amp;$N$1</f>
        <v>&lt;a href="https://en.wikipedia.org/wiki/Source-to-source_compiler" alt="Source to Source Compiler"&gt;Source to Source Compiler&lt;/a&gt;&lt;br/&gt;</v>
      </c>
    </row>
    <row r="21" spans="1:4" x14ac:dyDescent="0.35">
      <c r="A21" t="s">
        <v>16</v>
      </c>
      <c r="B21" t="s">
        <v>93</v>
      </c>
      <c r="C21" t="str">
        <f>$G$1&amp;A21&amp;$H$1&amp;$I$1&amp;B21&amp;$J$1</f>
        <v>[Web Architecture 101](https://engineering.videoblocks.com/web-architecture-101-a3224e126947)</v>
      </c>
      <c r="D21" t="str">
        <f t="shared" si="4"/>
        <v>&lt;a href="https://engineering.videoblocks.com/web-architecture-101-a3224e126947" alt="Web Architecture 101"&gt;Web Architecture 101&lt;/a&gt;&lt;br/&gt;</v>
      </c>
    </row>
    <row r="22" spans="1:4" x14ac:dyDescent="0.35">
      <c r="A22" t="s">
        <v>17</v>
      </c>
      <c r="B22" t="s">
        <v>94</v>
      </c>
      <c r="C22" t="str">
        <f>$G$1&amp;A22&amp;$H$1&amp;$I$1&amp;B22&amp;$J$1</f>
        <v>[Google Location History](https://stackoverflow.com/questions/32332904/current-url-to-download-kml-data-from-google-location-history)</v>
      </c>
      <c r="D22" t="str">
        <f t="shared" si="4"/>
        <v>&lt;a href="https://stackoverflow.com/questions/32332904/current-url-to-download-kml-data-from-google-location-history" alt="Google Location History"&gt;Google Location History&lt;/a&gt;&lt;br/&gt;</v>
      </c>
    </row>
    <row r="23" spans="1:4" x14ac:dyDescent="0.35">
      <c r="A23" t="s">
        <v>18</v>
      </c>
      <c r="B23" t="s">
        <v>95</v>
      </c>
      <c r="C23" t="str">
        <f>$G$1&amp;A23&amp;$H$1&amp;$I$1&amp;B23&amp;$J$1</f>
        <v>[Tech Stuff - Programming Languages](https://open.spotify.com/episode/32eqHCWIpqsYf3xN3kKKJg?si=dRignF0tRsG32ye52BLfzQ)</v>
      </c>
      <c r="D23" t="str">
        <f t="shared" si="4"/>
        <v>&lt;a href="https://open.spotify.com/episode/32eqHCWIpqsYf3xN3kKKJg?si=dRignF0tRsG32ye52BLfzQ" alt="Tech Stuff - Programming Languages"&gt;Tech Stuff - Programming Languages&lt;/a&gt;&lt;br/&gt;</v>
      </c>
    </row>
    <row r="24" spans="1:4" x14ac:dyDescent="0.35">
      <c r="A24" t="s">
        <v>19</v>
      </c>
      <c r="B24" t="s">
        <v>96</v>
      </c>
      <c r="C24" t="str">
        <f>$G$1&amp;A24&amp;$H$1&amp;$I$1&amp;B24&amp;$J$1</f>
        <v>[Evolution of NYT Tech Stack](https://stackshare.io/posts/evolution-of-new-york-times-tech-stack)</v>
      </c>
      <c r="D24" t="str">
        <f t="shared" si="4"/>
        <v>&lt;a href="https://stackshare.io/posts/evolution-of-new-york-times-tech-stack" alt="Evolution of NYT Tech Stack"&gt;Evolution of NYT Tech Stack&lt;/a&gt;&lt;br/&gt;</v>
      </c>
    </row>
    <row r="25" spans="1:4" x14ac:dyDescent="0.35">
      <c r="A25" t="s">
        <v>20</v>
      </c>
      <c r="B25" t="s">
        <v>97</v>
      </c>
      <c r="C25" t="str">
        <f>$G$1&amp;A25&amp;$H$1&amp;$I$1&amp;B25&amp;$J$1</f>
        <v>[Netflix Open Source UX](https://drive.google.com/drive/folders/1y4X8H56TS6M7AXAU7yIm0EyxhqNUy1sz)</v>
      </c>
      <c r="D25" t="str">
        <f t="shared" si="4"/>
        <v>&lt;a href="https://drive.google.com/drive/folders/1y4X8H56TS6M7AXAU7yIm0EyxhqNUy1sz" alt="Netflix Open Source UX"&gt;Netflix Open Source UX&lt;/a&gt;&lt;br/&gt;</v>
      </c>
    </row>
    <row r="26" spans="1:4" x14ac:dyDescent="0.35">
      <c r="A26" t="s">
        <v>21</v>
      </c>
      <c r="B26" t="s">
        <v>98</v>
      </c>
      <c r="C26" t="str">
        <f>$G$1&amp;A26&amp;$H$1&amp;$I$1&amp;B26&amp;$J$1</f>
        <v>[Mozilla Getting Started with the Web](https://developer.mozilla.org/en-US/docs/Learn/Getting_started_with_the_web)</v>
      </c>
      <c r="D26" t="str">
        <f t="shared" si="4"/>
        <v>&lt;a href="https://developer.mozilla.org/en-US/docs/Learn/Getting_started_with_the_web" alt="Mozilla Getting Started with the Web"&gt;Mozilla Getting Started with the Web&lt;/a&gt;&lt;br/&gt;</v>
      </c>
    </row>
    <row r="27" spans="1:4" x14ac:dyDescent="0.35">
      <c r="A27" t="s">
        <v>22</v>
      </c>
      <c r="B27" t="s">
        <v>99</v>
      </c>
      <c r="C27" t="str">
        <f>$G$1&amp;A27&amp;$H$1&amp;$I$1&amp;B27&amp;$J$1</f>
        <v>[POST Process](https://www.lifewire.com/what-is-post-2625953)</v>
      </c>
      <c r="D27" t="str">
        <f t="shared" si="4"/>
        <v>&lt;a href="https://www.lifewire.com/what-is-post-2625953" alt="POST Process"&gt;POST Process&lt;/a&gt;&lt;br/&gt;</v>
      </c>
    </row>
    <row r="28" spans="1:4" x14ac:dyDescent="0.35">
      <c r="A28" t="s">
        <v>23</v>
      </c>
      <c r="B28" t="s">
        <v>100</v>
      </c>
      <c r="C28" t="str">
        <f>$G$1&amp;A28&amp;$H$1&amp;$I$1&amp;B28&amp;$J$1</f>
        <v>[Edge for devs](https://blogs.windows.com/msedgedev/2018/05/11/introducing-edge-devtools-protocol/)</v>
      </c>
      <c r="D28" t="str">
        <f t="shared" si="4"/>
        <v>&lt;a href="https://blogs.windows.com/msedgedev/2018/05/11/introducing-edge-devtools-protocol/" alt="Edge for devs"&gt;Edge for devs&lt;/a&gt;&lt;br/&gt;</v>
      </c>
    </row>
    <row r="29" spans="1:4" x14ac:dyDescent="0.35">
      <c r="A29" t="s">
        <v>24</v>
      </c>
      <c r="B29" t="s">
        <v>101</v>
      </c>
      <c r="C29" t="str">
        <f>$G$1&amp;A29&amp;$H$1&amp;$I$1&amp;B29&amp;$J$1</f>
        <v>[Jekyll Reference](https://jekyllrb.com/docs/home/)</v>
      </c>
      <c r="D29" t="str">
        <f t="shared" si="4"/>
        <v>&lt;a href="https://jekyllrb.com/docs/home/" alt="Jekyll Reference"&gt;Jekyll Reference&lt;/a&gt;&lt;br/&gt;</v>
      </c>
    </row>
    <row r="30" spans="1:4" x14ac:dyDescent="0.35">
      <c r="A30" t="s">
        <v>25</v>
      </c>
      <c r="B30" t="s">
        <v>102</v>
      </c>
      <c r="C30" t="str">
        <f>$G$1&amp;A30&amp;$H$1&amp;$I$1&amp;B30&amp;$J$1</f>
        <v>[W3 How-To](https://www.w3schools.com/howto/howto_css_bottom_nav.asp)</v>
      </c>
      <c r="D30" t="str">
        <f t="shared" si="4"/>
        <v>&lt;a href="https://www.w3schools.com/howto/howto_css_bottom_nav.asp" alt="W3 How-To"&gt;W3 How-To&lt;/a&gt;&lt;br/&gt;</v>
      </c>
    </row>
    <row r="31" spans="1:4" x14ac:dyDescent="0.35">
      <c r="A31" t="s">
        <v>26</v>
      </c>
      <c r="B31" t="s">
        <v>103</v>
      </c>
      <c r="C31" t="str">
        <f>$G$1&amp;A31&amp;$H$1&amp;$I$1&amp;B31&amp;$J$1</f>
        <v>[Editor Configuration](http://editorconfig.org/)</v>
      </c>
      <c r="D31" t="str">
        <f t="shared" si="4"/>
        <v>&lt;a href="http://editorconfig.org/" alt="Editor Configuration"&gt;Editor Configuration&lt;/a&gt;&lt;br/&gt;</v>
      </c>
    </row>
    <row r="32" spans="1:4" x14ac:dyDescent="0.35">
      <c r="A32" t="s">
        <v>27</v>
      </c>
      <c r="B32" t="s">
        <v>104</v>
      </c>
      <c r="C32" t="str">
        <f>$G$1&amp;A32&amp;$H$1&amp;$I$1&amp;B32&amp;$J$1</f>
        <v>[Bootsrapping](https://bootsnipp.com/)</v>
      </c>
      <c r="D32" t="str">
        <f t="shared" si="4"/>
        <v>&lt;a href="https://bootsnipp.com/" alt="Bootsrapping"&gt;Bootsrapping&lt;/a&gt;&lt;br/&gt;</v>
      </c>
    </row>
    <row r="33" spans="1:4" x14ac:dyDescent="0.35">
      <c r="A33" t="s">
        <v>28</v>
      </c>
      <c r="B33" t="s">
        <v>84</v>
      </c>
      <c r="C33" t="str">
        <f>$G$1&amp;A33&amp;$H$1&amp;$I$1&amp;B33&amp;$J$1</f>
        <v>[PatP0w Reddit Feed](https://www.reddit.com/.json?feed=4e6cf8d760d7d15b9f9b50288143800681feed51&amp;user=PATP0W)</v>
      </c>
      <c r="D33" t="str">
        <f t="shared" si="4"/>
        <v>&lt;a href="https://www.reddit.com/.json?feed=4e6cf8d760d7d15b9f9b50288143800681feed51&amp;user=PATP0W" alt="PatP0w Reddit Feed"&gt;PatP0w Reddit Feed&lt;/a&gt;&lt;br/&gt;</v>
      </c>
    </row>
    <row r="34" spans="1:4" x14ac:dyDescent="0.35">
      <c r="A34" s="1"/>
    </row>
    <row r="35" spans="1:4" x14ac:dyDescent="0.35">
      <c r="A35" s="2" t="s">
        <v>29</v>
      </c>
      <c r="B35" t="s">
        <v>144</v>
      </c>
      <c r="C35" t="s">
        <v>162</v>
      </c>
      <c r="D35" t="s">
        <v>173</v>
      </c>
    </row>
    <row r="36" spans="1:4" x14ac:dyDescent="0.35">
      <c r="A36" t="s">
        <v>30</v>
      </c>
      <c r="B36" t="s">
        <v>105</v>
      </c>
      <c r="C36" t="str">
        <f>$G$1&amp;A36&amp;$H$1&amp;$I$1&amp;B36&amp;$J$1</f>
        <v>[Twitter APIs](https://developer.twitter.com/en/use-cases/analyze)</v>
      </c>
      <c r="D36" t="str">
        <f t="shared" ref="D36:D40" si="5">$K$1&amp;B36&amp;$F$1&amp;" "&amp;$L$1&amp;A36&amp;$F$1&amp;$M$1&amp;A36&amp;$N$1</f>
        <v>&lt;a href="https://developer.twitter.com/en/use-cases/analyze" alt="Twitter APIs"&gt;Twitter APIs&lt;/a&gt;&lt;br/&gt;</v>
      </c>
    </row>
    <row r="37" spans="1:4" x14ac:dyDescent="0.35">
      <c r="A37" t="s">
        <v>31</v>
      </c>
      <c r="B37" t="s">
        <v>82</v>
      </c>
      <c r="C37" t="str">
        <f>$G$1&amp;A37&amp;$H$1&amp;$I$1&amp;B37&amp;$J$1</f>
        <v>[Google APIs](https://docs.google.com/spreadsheets/d/e/2PACX-1vSagKTIeMWiRffzpL8vL9eu_BAr_2DSyBSQJKbWwPSOl0Z7JOhBQaIPenm4lYXXtEzZOdTGXCbd1U6D/pubhtml)</v>
      </c>
      <c r="D37" t="str">
        <f t="shared" si="5"/>
        <v>&lt;a href="https://docs.google.com/spreadsheets/d/e/2PACX-1vSagKTIeMWiRffzpL8vL9eu_BAr_2DSyBSQJKbWwPSOl0Z7JOhBQaIPenm4lYXXtEzZOdTGXCbd1U6D/pubhtml" alt="Google APIs"&gt;Google APIs&lt;/a&gt;&lt;br/&gt;</v>
      </c>
    </row>
    <row r="38" spans="1:4" x14ac:dyDescent="0.35">
      <c r="A38" t="s">
        <v>32</v>
      </c>
      <c r="B38" t="s">
        <v>83</v>
      </c>
      <c r="C38" t="str">
        <f>$G$1&amp;A38&amp;$H$1&amp;$I$1&amp;B38&amp;$J$1</f>
        <v>[IEX Documentation](https://iextrading.com/developer/)</v>
      </c>
      <c r="D38" t="str">
        <f t="shared" si="5"/>
        <v>&lt;a href="https://iextrading.com/developer/" alt="IEX Documentation"&gt;IEX Documentation&lt;/a&gt;&lt;br/&gt;</v>
      </c>
    </row>
    <row r="39" spans="1:4" x14ac:dyDescent="0.35">
      <c r="A39" t="s">
        <v>33</v>
      </c>
      <c r="B39" t="s">
        <v>106</v>
      </c>
      <c r="C39" t="str">
        <f>$G$1&amp;A39&amp;$H$1&amp;$I$1&amp;B39&amp;$J$1</f>
        <v>[BF Tracker](https://battlefieldtracker.com/bf1/profile/xbox/imamiget1277/live)</v>
      </c>
      <c r="D39" t="str">
        <f t="shared" si="5"/>
        <v>&lt;a href="https://battlefieldtracker.com/bf1/profile/xbox/imamiget1277/live" alt="BF Tracker"&gt;BF Tracker&lt;/a&gt;&lt;br/&gt;</v>
      </c>
    </row>
    <row r="40" spans="1:4" x14ac:dyDescent="0.35">
      <c r="A40" t="s">
        <v>34</v>
      </c>
      <c r="B40" t="s">
        <v>107</v>
      </c>
      <c r="C40" t="str">
        <f>$G$1&amp;A40&amp;$H$1&amp;$I$1&amp;B40&amp;$J$1</f>
        <v>[Additional APIs](onenote:)</v>
      </c>
      <c r="D40" t="str">
        <f t="shared" si="5"/>
        <v>&lt;a href="onenote:" alt="Additional APIs"&gt;Additional APIs&lt;/a&gt;&lt;br/&gt;</v>
      </c>
    </row>
    <row r="41" spans="1:4" x14ac:dyDescent="0.35">
      <c r="A41" s="1"/>
    </row>
    <row r="42" spans="1:4" x14ac:dyDescent="0.35">
      <c r="A42" s="2" t="s">
        <v>153</v>
      </c>
      <c r="B42" t="s">
        <v>144</v>
      </c>
      <c r="C42" t="s">
        <v>163</v>
      </c>
      <c r="D42" t="s">
        <v>173</v>
      </c>
    </row>
    <row r="43" spans="1:4" x14ac:dyDescent="0.35">
      <c r="A43" t="s">
        <v>35</v>
      </c>
      <c r="B43" t="s">
        <v>80</v>
      </c>
      <c r="C43" t="str">
        <f>$G$1&amp;A43&amp;$H$1&amp;$I$1&amp;B43&amp;$J$1</f>
        <v>[Econometrics](https://www.bing.com/search?q=exconometrics&amp;form=EDGTCT&amp;qs=PF&amp;cvid=294feca3c6e840998d1faa3fda70ae45&amp;cc=US&amp;setlang=en-US&amp;PC=LSJS)</v>
      </c>
      <c r="D43" t="str">
        <f t="shared" ref="D43:D44" si="6">$K$1&amp;B43&amp;$F$1&amp;" "&amp;$L$1&amp;A43&amp;$F$1&amp;$M$1&amp;A43&amp;$N$1</f>
        <v>&lt;a href="https://www.bing.com/search?q=exconometrics&amp;form=EDGTCT&amp;qs=PF&amp;cvid=294feca3c6e840998d1faa3fda70ae45&amp;cc=US&amp;setlang=en-US&amp;PC=LSJS" alt="Econometrics"&gt;Econometrics&lt;/a&gt;&lt;br/&gt;</v>
      </c>
    </row>
    <row r="44" spans="1:4" x14ac:dyDescent="0.35">
      <c r="A44" t="s">
        <v>36</v>
      </c>
      <c r="B44" t="s">
        <v>81</v>
      </c>
      <c r="C44" t="str">
        <f>$G$1&amp;A44&amp;$H$1&amp;$I$1&amp;B44&amp;$J$1</f>
        <v>[Klipfolio](https://www.klipfolio.com/)</v>
      </c>
      <c r="D44" t="str">
        <f t="shared" si="6"/>
        <v>&lt;a href="https://www.klipfolio.com/" alt="Klipfolio"&gt;Klipfolio&lt;/a&gt;&lt;br/&gt;</v>
      </c>
    </row>
    <row r="45" spans="1:4" x14ac:dyDescent="0.35">
      <c r="A45" s="1"/>
    </row>
    <row r="46" spans="1:4" x14ac:dyDescent="0.35">
      <c r="A46" s="2" t="s">
        <v>37</v>
      </c>
      <c r="B46" t="s">
        <v>144</v>
      </c>
      <c r="C46" t="s">
        <v>164</v>
      </c>
      <c r="D46" t="s">
        <v>173</v>
      </c>
    </row>
    <row r="47" spans="1:4" x14ac:dyDescent="0.35">
      <c r="A47" t="s">
        <v>38</v>
      </c>
      <c r="B47" t="s">
        <v>108</v>
      </c>
      <c r="C47" t="str">
        <f>$G$1&amp;A47&amp;$H$1&amp;$I$1&amp;B47&amp;$J$1</f>
        <v>[Power BI Capabilities in Excel](https://dev.office.com/blogs/azure-machine-learning-javascript-custom-functions-and-power-bi-custom-visuals-further-expand-developers-capabilities-with-excel)</v>
      </c>
      <c r="D47" t="str">
        <f t="shared" ref="D47:D54" si="7">$K$1&amp;B47&amp;$F$1&amp;" "&amp;$L$1&amp;A47&amp;$F$1&amp;$M$1&amp;A47&amp;$N$1</f>
        <v>&lt;a href="https://dev.office.com/blogs/azure-machine-learning-javascript-custom-functions-and-power-bi-custom-visuals-further-expand-developers-capabilities-with-excel" alt="Power BI Capabilities in Excel"&gt;Power BI Capabilities in Excel&lt;/a&gt;&lt;br/&gt;</v>
      </c>
    </row>
    <row r="48" spans="1:4" x14ac:dyDescent="0.35">
      <c r="A48" t="s">
        <v>39</v>
      </c>
      <c r="B48" t="s">
        <v>109</v>
      </c>
      <c r="C48" t="str">
        <f>$G$1&amp;A48&amp;$H$1&amp;$I$1&amp;B48&amp;$J$1</f>
        <v>[Text Analysis in Power BI with Cognitive services](https://www.youtube.com/watch?v=WWod8ETS7J8)</v>
      </c>
      <c r="D48" t="str">
        <f t="shared" si="7"/>
        <v>&lt;a href="https://www.youtube.com/watch?v=WWod8ETS7J8" alt="Text Analysis in Power BI with Cognitive services"&gt;Text Analysis in Power BI with Cognitive services&lt;/a&gt;&lt;br/&gt;</v>
      </c>
    </row>
    <row r="49" spans="1:4" x14ac:dyDescent="0.35">
      <c r="A49" t="s">
        <v>40</v>
      </c>
      <c r="B49" t="s">
        <v>110</v>
      </c>
      <c r="C49" t="str">
        <f>$G$1&amp;A49&amp;$H$1&amp;$I$1&amp;B49&amp;$J$1</f>
        <v>[Create File List Macro](https://www.myonlinetraininghub.com/Create-Hyperlinked-List-of-Files-in-Subfolders)</v>
      </c>
      <c r="D49" t="str">
        <f t="shared" si="7"/>
        <v>&lt;a href="https://www.myonlinetraininghub.com/Create-Hyperlinked-List-of-Files-in-Subfolders" alt="Create File List Macro"&gt;Create File List Macro&lt;/a&gt;&lt;br/&gt;</v>
      </c>
    </row>
    <row r="50" spans="1:4" x14ac:dyDescent="0.35">
      <c r="A50" t="s">
        <v>41</v>
      </c>
      <c r="B50" t="s">
        <v>111</v>
      </c>
      <c r="C50" t="str">
        <f>$G$1&amp;A50&amp;$H$1&amp;$I$1&amp;B50&amp;$J$1</f>
        <v>[Chandoo Dashboard Templates](http://chandoo.org/dbt/index.html)</v>
      </c>
      <c r="D50" t="str">
        <f t="shared" si="7"/>
        <v>&lt;a href="http://chandoo.org/dbt/index.html" alt="Chandoo Dashboard Templates"&gt;Chandoo Dashboard Templates&lt;/a&gt;&lt;br/&gt;</v>
      </c>
    </row>
    <row r="51" spans="1:4" x14ac:dyDescent="0.35">
      <c r="A51" t="s">
        <v>42</v>
      </c>
      <c r="B51" t="s">
        <v>112</v>
      </c>
      <c r="C51" t="str">
        <f>$G$1&amp;A51&amp;$H$1&amp;$I$1&amp;B51&amp;$J$1</f>
        <v>[Excel Add-Ins Tutorial](https://docs.microsoft.com/en-us/office/dev/add-ins/tutorials/excel-tutorial)</v>
      </c>
      <c r="D51" t="str">
        <f t="shared" si="7"/>
        <v>&lt;a href="https://docs.microsoft.com/en-us/office/dev/add-ins/tutorials/excel-tutorial" alt="Excel Add-Ins Tutorial"&gt;Excel Add-Ins Tutorial&lt;/a&gt;&lt;br/&gt;</v>
      </c>
    </row>
    <row r="52" spans="1:4" x14ac:dyDescent="0.35">
      <c r="A52" t="s">
        <v>43</v>
      </c>
      <c r="B52" t="s">
        <v>113</v>
      </c>
      <c r="C52" t="str">
        <f>$G$1&amp;A52&amp;$H$1&amp;$I$1&amp;B52&amp;$J$1</f>
        <v>[DIYBI-PowerQuery](C:\Users\prp12.000\OneDrive\Documents\Reinhart\Resources\DIYBI-PowerQuery)</v>
      </c>
      <c r="D52" t="str">
        <f t="shared" si="7"/>
        <v>&lt;a href="C:\Users\prp12.000\OneDrive\Documents\Reinhart\Resources\DIYBI-PowerQuery" alt="DIYBI-PowerQuery"&gt;DIYBI-PowerQuery&lt;/a&gt;&lt;br/&gt;</v>
      </c>
    </row>
    <row r="53" spans="1:4" x14ac:dyDescent="0.35">
      <c r="A53" t="s">
        <v>44</v>
      </c>
      <c r="B53" t="s">
        <v>114</v>
      </c>
      <c r="C53" t="str">
        <f>$G$1&amp;A53&amp;$H$1&amp;$I$1&amp;B53&amp;$J$1</f>
        <v>[Power BI Geocoding](https://msdn.microsoft.com/en-us/library/ff701714.aspx)</v>
      </c>
      <c r="D53" t="str">
        <f t="shared" si="7"/>
        <v>&lt;a href="https://msdn.microsoft.com/en-us/library/ff701714.aspx" alt="Power BI Geocoding"&gt;Power BI Geocoding&lt;/a&gt;&lt;br/&gt;</v>
      </c>
    </row>
    <row r="54" spans="1:4" x14ac:dyDescent="0.35">
      <c r="A54" t="s">
        <v>45</v>
      </c>
      <c r="B54" t="s">
        <v>115</v>
      </c>
      <c r="C54" t="str">
        <f>$G$1&amp;A54&amp;$H$1&amp;$I$1&amp;B54&amp;$J$1</f>
        <v>[Chris Webb Crossjoin BI](https://blog.crossjoin.co.uk/)</v>
      </c>
      <c r="D54" t="str">
        <f t="shared" si="7"/>
        <v>&lt;a href="https://blog.crossjoin.co.uk/" alt="Chris Webb Crossjoin BI"&gt;Chris Webb Crossjoin BI&lt;/a&gt;&lt;br/&gt;</v>
      </c>
    </row>
    <row r="55" spans="1:4" x14ac:dyDescent="0.35">
      <c r="A55" s="1"/>
    </row>
    <row r="56" spans="1:4" x14ac:dyDescent="0.35">
      <c r="A56" s="2" t="s">
        <v>46</v>
      </c>
      <c r="B56" t="s">
        <v>144</v>
      </c>
      <c r="C56" t="s">
        <v>165</v>
      </c>
      <c r="D56" t="s">
        <v>173</v>
      </c>
    </row>
    <row r="57" spans="1:4" x14ac:dyDescent="0.35">
      <c r="A57" t="s">
        <v>47</v>
      </c>
      <c r="B57" t="s">
        <v>116</v>
      </c>
      <c r="C57" t="str">
        <f>$G$1&amp;A57&amp;$H$1&amp;$I$1&amp;B57&amp;$J$1</f>
        <v>[Best Sites to Learn VBA](https://blog.cometdocs.com/the-best-places-to-learn-vba-online)</v>
      </c>
      <c r="D57" t="str">
        <f t="shared" ref="D57:D71" si="8">$K$1&amp;B57&amp;$F$1&amp;" "&amp;$L$1&amp;A57&amp;$F$1&amp;$M$1&amp;A57&amp;$N$1</f>
        <v>&lt;a href="https://blog.cometdocs.com/the-best-places-to-learn-vba-online" alt="Best Sites to Learn VBA"&gt;Best Sites to Learn VBA&lt;/a&gt;&lt;br/&gt;</v>
      </c>
    </row>
    <row r="58" spans="1:4" x14ac:dyDescent="0.35">
      <c r="A58" t="s">
        <v>48</v>
      </c>
      <c r="B58" t="s">
        <v>117</v>
      </c>
      <c r="C58" t="str">
        <f>$G$1&amp;A58&amp;$H$1&amp;$I$1&amp;B58&amp;$J$1</f>
        <v>[Excel Pratique Intro](https://www.excel-pratique.com/en/vba/introduction.php)</v>
      </c>
      <c r="D58" t="str">
        <f t="shared" si="8"/>
        <v>&lt;a href="https://www.excel-pratique.com/en/vba/introduction.php" alt="Excel Pratique Intro"&gt;Excel Pratique Intro&lt;/a&gt;&lt;br/&gt;</v>
      </c>
    </row>
    <row r="59" spans="1:4" x14ac:dyDescent="0.35">
      <c r="A59" t="s">
        <v>49</v>
      </c>
      <c r="B59" t="s">
        <v>118</v>
      </c>
      <c r="C59" t="str">
        <f>$G$1&amp;A59&amp;$H$1&amp;$I$1&amp;B59&amp;$J$1</f>
        <v>[Selections](https://www.excel-pratique.com/en/vba/selections.php)</v>
      </c>
      <c r="D59" t="str">
        <f t="shared" si="8"/>
        <v>&lt;a href="https://www.excel-pratique.com/en/vba/selections.php" alt="Selections"&gt;Selections&lt;/a&gt;&lt;br/&gt;</v>
      </c>
    </row>
    <row r="60" spans="1:4" x14ac:dyDescent="0.35">
      <c r="A60" t="s">
        <v>50</v>
      </c>
      <c r="B60" t="s">
        <v>119</v>
      </c>
      <c r="C60" t="str">
        <f>$G$1&amp;A60&amp;$H$1&amp;$I$1&amp;B60&amp;$J$1</f>
        <v>[Variables](https://www.excel-pratique.com/en/vba/variables.php)</v>
      </c>
      <c r="D60" t="str">
        <f t="shared" si="8"/>
        <v>&lt;a href="https://www.excel-pratique.com/en/vba/variables.php" alt="Variables"&gt;Variables&lt;/a&gt;&lt;br/&gt;</v>
      </c>
    </row>
    <row r="61" spans="1:4" x14ac:dyDescent="0.35">
      <c r="A61" t="s">
        <v>51</v>
      </c>
      <c r="B61" t="s">
        <v>120</v>
      </c>
      <c r="C61" t="str">
        <f>$G$1&amp;A61&amp;$H$1&amp;$I$1&amp;B61&amp;$J$1</f>
        <v>[Conditions](https://www.excel-pratique.com/en/vba/conditions.php)</v>
      </c>
      <c r="D61" t="str">
        <f t="shared" si="8"/>
        <v>&lt;a href="https://www.excel-pratique.com/en/vba/conditions.php" alt="Conditions"&gt;Conditions&lt;/a&gt;&lt;br/&gt;</v>
      </c>
    </row>
    <row r="62" spans="1:4" x14ac:dyDescent="0.35">
      <c r="A62" t="s">
        <v>52</v>
      </c>
      <c r="B62" t="s">
        <v>121</v>
      </c>
      <c r="C62" t="str">
        <f>$G$1&amp;A62&amp;$H$1&amp;$I$1&amp;B62&amp;$J$1</f>
        <v>[Loops](https://www.excel-pratique.com/en/vba/loops.php)</v>
      </c>
      <c r="D62" t="str">
        <f t="shared" si="8"/>
        <v>&lt;a href="https://www.excel-pratique.com/en/vba/loops.php" alt="Loops"&gt;Loops&lt;/a&gt;&lt;br/&gt;</v>
      </c>
    </row>
    <row r="63" spans="1:4" x14ac:dyDescent="0.35">
      <c r="A63" t="s">
        <v>53</v>
      </c>
      <c r="B63" t="s">
        <v>122</v>
      </c>
      <c r="C63" t="str">
        <f>$G$1&amp;A63&amp;$H$1&amp;$I$1&amp;B63&amp;$J$1</f>
        <v>[Procedures &amp; Functions](https://www.excel-pratique.com/en/vba/procedures_functions.php)</v>
      </c>
      <c r="D63" t="str">
        <f t="shared" si="8"/>
        <v>&lt;a href="https://www.excel-pratique.com/en/vba/procedures_functions.php" alt="Procedures &amp; Functions"&gt;Procedures &amp; Functions&lt;/a&gt;&lt;br/&gt;</v>
      </c>
    </row>
    <row r="64" spans="1:4" x14ac:dyDescent="0.35">
      <c r="A64" t="s">
        <v>54</v>
      </c>
      <c r="B64" t="s">
        <v>107</v>
      </c>
      <c r="C64" t="str">
        <f>$G$1&amp;A64&amp;$H$1&amp;$I$1&amp;B64&amp;$J$1</f>
        <v>[Dialog Boxes](onenote:)</v>
      </c>
      <c r="D64" t="str">
        <f t="shared" si="8"/>
        <v>&lt;a href="onenote:" alt="Dialog Boxes"&gt;Dialog Boxes&lt;/a&gt;&lt;br/&gt;</v>
      </c>
    </row>
    <row r="65" spans="1:4" x14ac:dyDescent="0.35">
      <c r="A65" t="s">
        <v>55</v>
      </c>
      <c r="B65" t="s">
        <v>123</v>
      </c>
      <c r="C65" t="str">
        <f>$G$1&amp;A65&amp;$H$1&amp;$I$1&amp;B65&amp;$J$1</f>
        <v>[Workbook Events](https://www.excel-pratique.com/en/vba/workbook_events.php)</v>
      </c>
      <c r="D65" t="str">
        <f t="shared" si="8"/>
        <v>&lt;a href="https://www.excel-pratique.com/en/vba/workbook_events.php" alt="Workbook Events"&gt;Workbook Events&lt;/a&gt;&lt;br/&gt;</v>
      </c>
    </row>
    <row r="66" spans="1:4" x14ac:dyDescent="0.35">
      <c r="A66" t="s">
        <v>56</v>
      </c>
      <c r="B66" t="s">
        <v>124</v>
      </c>
      <c r="C66" t="str">
        <f>$G$1&amp;A66&amp;$H$1&amp;$I$1&amp;B66&amp;$J$1</f>
        <v>[User Forms](https://www.excel-pratique.com/en/vba/userform.php)</v>
      </c>
      <c r="D66" t="str">
        <f t="shared" si="8"/>
        <v>&lt;a href="https://www.excel-pratique.com/en/vba/userform.php" alt="User Forms"&gt;User Forms&lt;/a&gt;&lt;br/&gt;</v>
      </c>
    </row>
    <row r="67" spans="1:4" x14ac:dyDescent="0.35">
      <c r="A67" t="s">
        <v>57</v>
      </c>
      <c r="B67" t="s">
        <v>125</v>
      </c>
      <c r="C67" t="str">
        <f>$G$1&amp;A67&amp;$H$1&amp;$I$1&amp;B67&amp;$J$1</f>
        <v>[VBA Arrays](https://www.excel-pratique.com/en/vba/vba_arrays.php)</v>
      </c>
      <c r="D67" t="str">
        <f t="shared" si="8"/>
        <v>&lt;a href="https://www.excel-pratique.com/en/vba/vba_arrays.php" alt="VBA Arrays"&gt;VBA Arrays&lt;/a&gt;&lt;br/&gt;</v>
      </c>
    </row>
    <row r="68" spans="1:4" x14ac:dyDescent="0.35">
      <c r="A68" t="s">
        <v>58</v>
      </c>
      <c r="B68" t="s">
        <v>126</v>
      </c>
      <c r="C68" t="str">
        <f>$G$1&amp;A68&amp;$H$1&amp;$I$1&amp;B68&amp;$J$1</f>
        <v>[Functions](https://www.excel-pratique.com/en/vba/vba_functions.php)</v>
      </c>
      <c r="D68" t="str">
        <f t="shared" si="8"/>
        <v>&lt;a href="https://www.excel-pratique.com/en/vba/vba_functions.php" alt="Functions"&gt;Functions&lt;/a&gt;&lt;br/&gt;</v>
      </c>
    </row>
    <row r="69" spans="1:4" x14ac:dyDescent="0.35">
      <c r="A69" t="s">
        <v>59</v>
      </c>
      <c r="B69" t="s">
        <v>127</v>
      </c>
      <c r="C69" t="str">
        <f>$G$1&amp;A69&amp;$H$1&amp;$I$1&amp;B69&amp;$J$1</f>
        <v>[Tricks &amp; Shortcuts](https://www.excel-pratique.com/en/vba/vba_tricks.php)</v>
      </c>
      <c r="D69" t="str">
        <f t="shared" si="8"/>
        <v>&lt;a href="https://www.excel-pratique.com/en/vba/vba_tricks.php" alt="Tricks &amp; Shortcuts"&gt;Tricks &amp; Shortcuts&lt;/a&gt;&lt;br/&gt;</v>
      </c>
    </row>
    <row r="70" spans="1:4" x14ac:dyDescent="0.35">
      <c r="A70" t="s">
        <v>60</v>
      </c>
      <c r="B70" t="s">
        <v>128</v>
      </c>
      <c r="C70" t="str">
        <f>$G$1&amp;A70&amp;$H$1&amp;$I$1&amp;B70&amp;$J$1</f>
        <v>[Going from VBA to JS](https://blogs.msmvps.com/wordmeister/category/vba-js/)</v>
      </c>
      <c r="D70" t="str">
        <f t="shared" si="8"/>
        <v>&lt;a href="https://blogs.msmvps.com/wordmeister/category/vba-js/" alt="Going from VBA to JS"&gt;Going from VBA to JS&lt;/a&gt;&lt;br/&gt;</v>
      </c>
    </row>
    <row r="71" spans="1:4" x14ac:dyDescent="0.35">
      <c r="A71" t="s">
        <v>61</v>
      </c>
      <c r="B71" t="s">
        <v>129</v>
      </c>
      <c r="C71" t="str">
        <f>$G$1&amp;A71&amp;$H$1&amp;$I$1&amp;B71&amp;$J$1</f>
        <v>[What's New in VBA 2016](https://msdn.microsoft.com/en-us/vba/office-shared-vba/articles/what-s-new-for-vba-in-office-2016)</v>
      </c>
      <c r="D71" t="str">
        <f t="shared" si="8"/>
        <v>&lt;a href="https://msdn.microsoft.com/en-us/vba/office-shared-vba/articles/what-s-new-for-vba-in-office-2016" alt="What's New in VBA 2016"&gt;What's New in VBA 2016&lt;/a&gt;&lt;br/&gt;</v>
      </c>
    </row>
    <row r="72" spans="1:4" x14ac:dyDescent="0.35">
      <c r="A72" s="1"/>
    </row>
    <row r="73" spans="1:4" x14ac:dyDescent="0.35">
      <c r="A73" s="2" t="s">
        <v>152</v>
      </c>
      <c r="B73" t="s">
        <v>144</v>
      </c>
      <c r="C73" t="s">
        <v>166</v>
      </c>
      <c r="D73" t="s">
        <v>173</v>
      </c>
    </row>
    <row r="74" spans="1:4" x14ac:dyDescent="0.35">
      <c r="A74" t="s">
        <v>62</v>
      </c>
      <c r="B74" t="s">
        <v>130</v>
      </c>
      <c r="C74" t="str">
        <f>$G$1&amp;A74&amp;$H$1&amp;$I$1&amp;B74&amp;$J$1</f>
        <v>[SQL Cheat sheet](https://www.kdnuggets.com/2018/07/sql-cheat-sheet.html)</v>
      </c>
      <c r="D74" t="str">
        <f t="shared" ref="D74:D75" si="9">$K$1&amp;B74&amp;$F$1&amp;" "&amp;$L$1&amp;A74&amp;$F$1&amp;$M$1&amp;A74&amp;$N$1</f>
        <v>&lt;a href="https://www.kdnuggets.com/2018/07/sql-cheat-sheet.html" alt="SQL Cheat sheet"&gt;SQL Cheat sheet&lt;/a&gt;&lt;br/&gt;</v>
      </c>
    </row>
    <row r="75" spans="1:4" x14ac:dyDescent="0.35">
      <c r="A75" t="s">
        <v>63</v>
      </c>
      <c r="B75" t="s">
        <v>131</v>
      </c>
      <c r="C75" t="str">
        <f>$G$1&amp;A75&amp;$H$1&amp;$I$1&amp;B75&amp;$J$1</f>
        <v>[SQL Tutorial](http://sol.gfxile.net/g3/)</v>
      </c>
      <c r="D75" t="str">
        <f t="shared" si="9"/>
        <v>&lt;a href="http://sol.gfxile.net/g3/" alt="SQL Tutorial"&gt;SQL Tutorial&lt;/a&gt;&lt;br/&gt;</v>
      </c>
    </row>
    <row r="76" spans="1:4" x14ac:dyDescent="0.35">
      <c r="A76" s="1"/>
    </row>
    <row r="77" spans="1:4" x14ac:dyDescent="0.35">
      <c r="A77" s="2" t="s">
        <v>152</v>
      </c>
      <c r="B77" t="s">
        <v>144</v>
      </c>
      <c r="C77" t="s">
        <v>167</v>
      </c>
      <c r="D77" t="s">
        <v>173</v>
      </c>
    </row>
    <row r="78" spans="1:4" x14ac:dyDescent="0.35">
      <c r="A78" t="s">
        <v>64</v>
      </c>
      <c r="B78" t="s">
        <v>132</v>
      </c>
      <c r="C78" t="str">
        <f>$G$1&amp;A78&amp;$H$1&amp;$I$1&amp;B78&amp;$J$1</f>
        <v>[Git Branching Model](https://nvie.com/posts/a-successful-git-branching-model/)</v>
      </c>
      <c r="D78" t="str">
        <f t="shared" ref="D78:D79" si="10">$K$1&amp;B78&amp;$F$1&amp;" "&amp;$L$1&amp;A78&amp;$F$1&amp;$M$1&amp;A78&amp;$N$1</f>
        <v>&lt;a href="https://nvie.com/posts/a-successful-git-branching-model/" alt="Git Branching Model"&gt;Git Branching Model&lt;/a&gt;&lt;br/&gt;</v>
      </c>
    </row>
    <row r="79" spans="1:4" x14ac:dyDescent="0.35">
      <c r="A79" t="s">
        <v>65</v>
      </c>
      <c r="B79" t="s">
        <v>133</v>
      </c>
      <c r="C79" t="str">
        <f>$G$1&amp;A79&amp;$H$1&amp;$I$1&amp;B79&amp;$J$1</f>
        <v>[Git-It](http://jlord.us/git-it/index.html)</v>
      </c>
      <c r="D79" t="str">
        <f t="shared" si="10"/>
        <v>&lt;a href="http://jlord.us/git-it/index.html" alt="Git-It"&gt;Git-It&lt;/a&gt;&lt;br/&gt;</v>
      </c>
    </row>
    <row r="80" spans="1:4" x14ac:dyDescent="0.35">
      <c r="A80" s="1"/>
    </row>
    <row r="81" spans="1:4" x14ac:dyDescent="0.35">
      <c r="A81" s="2" t="s">
        <v>152</v>
      </c>
      <c r="B81" t="s">
        <v>144</v>
      </c>
      <c r="C81" t="s">
        <v>168</v>
      </c>
      <c r="D81" t="s">
        <v>173</v>
      </c>
    </row>
    <row r="82" spans="1:4" x14ac:dyDescent="0.35">
      <c r="A82" t="s">
        <v>66</v>
      </c>
      <c r="B82" t="s">
        <v>134</v>
      </c>
      <c r="C82" t="str">
        <f>$G$1&amp;A82&amp;$H$1&amp;$I$1&amp;B82&amp;$J$1</f>
        <v>[Using Youtube as a Data Source](https://dzone.com/articles/using-youtube-as-a-data-source-in-gatsbyjs)</v>
      </c>
      <c r="D82" t="str">
        <f t="shared" ref="D82" si="11">$K$1&amp;B82&amp;$F$1&amp;" "&amp;$L$1&amp;A82&amp;$F$1&amp;$M$1&amp;A82&amp;$N$1</f>
        <v>&lt;a href="https://dzone.com/articles/using-youtube-as-a-data-source-in-gatsbyjs" alt="Using Youtube as a Data Source"&gt;Using Youtube as a Data Source&lt;/a&gt;&lt;br/&gt;</v>
      </c>
    </row>
    <row r="83" spans="1:4" x14ac:dyDescent="0.35">
      <c r="A83" s="1"/>
    </row>
    <row r="84" spans="1:4" x14ac:dyDescent="0.35">
      <c r="A84" s="2" t="s">
        <v>154</v>
      </c>
      <c r="B84" t="s">
        <v>144</v>
      </c>
      <c r="C84" t="s">
        <v>169</v>
      </c>
      <c r="D84" t="s">
        <v>173</v>
      </c>
    </row>
    <row r="85" spans="1:4" x14ac:dyDescent="0.35">
      <c r="A85" t="s">
        <v>67</v>
      </c>
      <c r="B85" t="s">
        <v>135</v>
      </c>
      <c r="C85" t="str">
        <f>$G$1&amp;A85&amp;$H$1&amp;$I$1&amp;B85&amp;$J$1</f>
        <v>[Using R to Generate World Cup Notifications](https://www.openanalytics.eu/blog/2018/07/05/world-cup-notifications-with-r/)</v>
      </c>
      <c r="D85" t="str">
        <f t="shared" ref="D85:D88" si="12">$K$1&amp;B85&amp;$F$1&amp;" "&amp;$L$1&amp;A85&amp;$F$1&amp;$M$1&amp;A85&amp;$N$1</f>
        <v>&lt;a href="https://www.openanalytics.eu/blog/2018/07/05/world-cup-notifications-with-r/" alt="Using R to Generate World Cup Notifications"&gt;Using R to Generate World Cup Notifications&lt;/a&gt;&lt;br/&gt;</v>
      </c>
    </row>
    <row r="86" spans="1:4" x14ac:dyDescent="0.35">
      <c r="A86" t="s">
        <v>68</v>
      </c>
      <c r="B86" t="s">
        <v>136</v>
      </c>
      <c r="C86" t="str">
        <f>$G$1&amp;A86&amp;$H$1&amp;$I$1&amp;B86&amp;$J$1</f>
        <v>[Harness the Power of the Web in R](https://www.lucymcgowan.com/talk/asa_joint_statistical_meeting_2018/)</v>
      </c>
      <c r="D86" t="str">
        <f t="shared" si="12"/>
        <v>&lt;a href="https://www.lucymcgowan.com/talk/asa_joint_statistical_meeting_2018/" alt="Harness the Power of the Web in R"&gt;Harness the Power of the Web in R&lt;/a&gt;&lt;br/&gt;</v>
      </c>
    </row>
    <row r="87" spans="1:4" x14ac:dyDescent="0.35">
      <c r="A87" t="s">
        <v>69</v>
      </c>
      <c r="B87" t="s">
        <v>137</v>
      </c>
      <c r="C87" t="str">
        <f>$G$1&amp;A87&amp;$H$1&amp;$I$1&amp;B87&amp;$J$1</f>
        <v>[Free Data Science and Statistics Links](http://www.deeplytrivial.com/2017/10/statistics-sunday-free-data-science-and.html)</v>
      </c>
      <c r="D87" t="str">
        <f t="shared" si="12"/>
        <v>&lt;a href="http://www.deeplytrivial.com/2017/10/statistics-sunday-free-data-science-and.html" alt="Free Data Science and Statistics Links"&gt;Free Data Science and Statistics Links&lt;/a&gt;&lt;br/&gt;</v>
      </c>
    </row>
    <row r="88" spans="1:4" x14ac:dyDescent="0.35">
      <c r="A88" t="s">
        <v>150</v>
      </c>
      <c r="B88" t="s">
        <v>151</v>
      </c>
      <c r="C88" s="3" t="str">
        <f>$G$1&amp;A88&amp;$H$1&amp;$I$1&amp;B88&amp;$J$1</f>
        <v>[https://csgillespie.github.io/efficientR/index.html#building-the-book](https://csgillespie.github.io/efficientR/index.html)</v>
      </c>
      <c r="D88" t="str">
        <f t="shared" si="12"/>
        <v>&lt;a href="https://csgillespie.github.io/efficientR/index.html" alt="https://csgillespie.github.io/efficientR/index.html#building-the-book"&gt;https://csgillespie.github.io/efficientR/index.html#building-the-book&lt;/a&gt;&lt;br/&gt;</v>
      </c>
    </row>
    <row r="89" spans="1:4" x14ac:dyDescent="0.35">
      <c r="A89" s="1"/>
    </row>
    <row r="90" spans="1:4" x14ac:dyDescent="0.35">
      <c r="A90" s="2" t="s">
        <v>155</v>
      </c>
      <c r="B90" t="s">
        <v>144</v>
      </c>
      <c r="C90" t="s">
        <v>170</v>
      </c>
      <c r="D90" t="s">
        <v>173</v>
      </c>
    </row>
    <row r="91" spans="1:4" x14ac:dyDescent="0.35">
      <c r="A91" t="s">
        <v>70</v>
      </c>
      <c r="B91" t="s">
        <v>138</v>
      </c>
      <c r="C91" t="str">
        <f>$G$1&amp;A91&amp;$H$1&amp;$I$1&amp;B91&amp;$J$1</f>
        <v>[Webscrape with Pandas](http://blog.kaggle.com/2017/01/31/scraping-for-craft-beers-a-dataset-creation-tutorial/?utm_medium=email&amp;utm_source=intercom&amp;utm_campaign=new+user+onboarding)</v>
      </c>
      <c r="D91" t="str">
        <f t="shared" ref="D91" si="13">$K$1&amp;B91&amp;$F$1&amp;" "&amp;$L$1&amp;A91&amp;$F$1&amp;$M$1&amp;A91&amp;$N$1</f>
        <v>&lt;a href="http://blog.kaggle.com/2017/01/31/scraping-for-craft-beers-a-dataset-creation-tutorial/?utm_medium=email&amp;utm_source=intercom&amp;utm_campaign=new+user+onboarding" alt="Webscrape with Pandas"&gt;Webscrape with Pandas&lt;/a&gt;&lt;br/&gt;</v>
      </c>
    </row>
    <row r="92" spans="1:4" x14ac:dyDescent="0.35">
      <c r="A92" s="1"/>
    </row>
    <row r="93" spans="1:4" x14ac:dyDescent="0.35">
      <c r="A93" s="2" t="s">
        <v>71</v>
      </c>
      <c r="B93" t="s">
        <v>144</v>
      </c>
      <c r="C93" t="s">
        <v>171</v>
      </c>
      <c r="D93" t="s">
        <v>173</v>
      </c>
    </row>
    <row r="94" spans="1:4" x14ac:dyDescent="0.35">
      <c r="A94" t="s">
        <v>72</v>
      </c>
      <c r="B94" t="s">
        <v>139</v>
      </c>
      <c r="C94" t="str">
        <f>$G$1&amp;A94&amp;$H$1&amp;$I$1&amp;B94&amp;$J$1</f>
        <v>[NTFS File System](https://www.lifewire.com/ntfs-file-system-2625948)</v>
      </c>
      <c r="D94" t="str">
        <f t="shared" ref="D94:D97" si="14">$K$1&amp;B94&amp;$F$1&amp;" "&amp;$L$1&amp;A94&amp;$F$1&amp;$M$1&amp;A94&amp;$N$1</f>
        <v>&lt;a href="https://www.lifewire.com/ntfs-file-system-2625948" alt="NTFS File System"&gt;NTFS File System&lt;/a&gt;&lt;br/&gt;</v>
      </c>
    </row>
    <row r="95" spans="1:4" x14ac:dyDescent="0.35">
      <c r="A95" t="s">
        <v>73</v>
      </c>
      <c r="B95" t="s">
        <v>140</v>
      </c>
      <c r="C95" t="str">
        <f>$G$1&amp;A95&amp;$H$1&amp;$I$1&amp;B95&amp;$J$1</f>
        <v>[Solar Winds Network Monitoring](https://www.solarwinds.com/free-tools)</v>
      </c>
      <c r="D95" t="str">
        <f t="shared" si="14"/>
        <v>&lt;a href="https://www.solarwinds.com/free-tools" alt="Solar Winds Network Monitoring"&gt;Solar Winds Network Monitoring&lt;/a&gt;&lt;br/&gt;</v>
      </c>
    </row>
    <row r="96" spans="1:4" x14ac:dyDescent="0.35">
      <c r="A96" t="s">
        <v>74</v>
      </c>
      <c r="B96" t="s">
        <v>141</v>
      </c>
      <c r="C96" t="str">
        <f>$G$1&amp;A96&amp;$H$1&amp;$I$1&amp;B96&amp;$J$1</f>
        <v>[Windows CLI](https://www.computerhope.com/issues/chusedos.htm)</v>
      </c>
      <c r="D96" t="str">
        <f t="shared" si="14"/>
        <v>&lt;a href="https://www.computerhope.com/issues/chusedos.htm" alt="Windows CLI"&gt;Windows CLI&lt;/a&gt;&lt;br/&gt;</v>
      </c>
    </row>
    <row r="97" spans="1:4" x14ac:dyDescent="0.35">
      <c r="A97" t="s">
        <v>75</v>
      </c>
      <c r="B97" t="s">
        <v>142</v>
      </c>
      <c r="C97" t="str">
        <f>$G$1&amp;A97&amp;$H$1&amp;$I$1&amp;B97&amp;$J$1</f>
        <v>[Shadow IT](https://wikipedia.org/wiki/Shadow_IT)</v>
      </c>
      <c r="D97" t="str">
        <f t="shared" si="14"/>
        <v>&lt;a href="https://wikipedia.org/wiki/Shadow_IT" alt="Shadow IT"&gt;Shadow IT&lt;/a&gt;&lt;br/&gt;</v>
      </c>
    </row>
    <row r="98" spans="1:4" x14ac:dyDescent="0.35">
      <c r="A98" s="1"/>
    </row>
    <row r="99" spans="1:4" x14ac:dyDescent="0.35">
      <c r="A99" s="2" t="s">
        <v>156</v>
      </c>
      <c r="B99" t="s">
        <v>144</v>
      </c>
      <c r="C99" t="s">
        <v>172</v>
      </c>
      <c r="D99" t="s">
        <v>173</v>
      </c>
    </row>
    <row r="100" spans="1:4" x14ac:dyDescent="0.35">
      <c r="A100" t="s">
        <v>76</v>
      </c>
      <c r="B100" t="s">
        <v>143</v>
      </c>
      <c r="C100" t="str">
        <f>$G$1&amp;A100&amp;$H$1&amp;$I$1&amp;B100&amp;$J$1</f>
        <v>[Miles Wedding Videos](https://1drv.ms/f/s!AoLkNBOSNnKyidYKmxhQYQddSx_bJA)</v>
      </c>
      <c r="D100" t="str">
        <f t="shared" ref="D100" si="15">$K$1&amp;B100&amp;$F$1&amp;" "&amp;$L$1&amp;A100&amp;$F$1&amp;$M$1&amp;A100&amp;$N$1</f>
        <v>&lt;a href="https://1drv.ms/f/s!AoLkNBOSNnKyidYKmxhQYQddSx_bJA" alt="Miles Wedding Videos"&gt;Miles Wedding Videos&lt;/a&gt;&lt;br/&gt;</v>
      </c>
    </row>
  </sheetData>
  <pageMargins left="0.7" right="0.7" top="0.75" bottom="0.75" header="0.3" footer="0.3"/>
  <tableParts count="16">
    <tablePart r:id="rId1"/>
    <tablePart r:id="rId2"/>
    <tablePart r:id="rId3"/>
    <tablePart r:id="rId4"/>
    <tablePart r:id="rId5"/>
    <tablePart r:id="rId6"/>
    <tablePart r:id="rId7"/>
    <tablePart r:id="rId8"/>
    <tablePart r:id="rId9"/>
    <tablePart r:id="rId10"/>
    <tablePart r:id="rId11"/>
    <tablePart r:id="rId12"/>
    <tablePart r:id="rId13"/>
    <tablePart r:id="rId14"/>
    <tablePart r:id="rId15"/>
    <tablePart r:id="rId16"/>
  </tablePart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2141F2E-AB99-45FD-8476-B452DD6C44BB}">
  <dimension ref="A1:I43"/>
  <sheetViews>
    <sheetView workbookViewId="0">
      <selection activeCell="D45" sqref="D45"/>
    </sheetView>
  </sheetViews>
  <sheetFormatPr defaultRowHeight="14.5" x14ac:dyDescent="0.35"/>
  <cols>
    <col min="1" max="1" width="32.6328125" style="4" bestFit="1" customWidth="1"/>
    <col min="2" max="2" width="8.7265625" style="4"/>
    <col min="3" max="3" width="28.90625" style="4" customWidth="1"/>
    <col min="4" max="16384" width="8.7265625" style="4"/>
  </cols>
  <sheetData>
    <row r="1" spans="1:9" x14ac:dyDescent="0.35">
      <c r="A1" t="s">
        <v>149</v>
      </c>
      <c r="B1" t="s">
        <v>145</v>
      </c>
      <c r="C1" t="s">
        <v>146</v>
      </c>
      <c r="D1" t="s">
        <v>147</v>
      </c>
      <c r="E1" t="s">
        <v>148</v>
      </c>
      <c r="F1" t="s">
        <v>174</v>
      </c>
      <c r="G1" t="s">
        <v>175</v>
      </c>
      <c r="H1" t="s">
        <v>176</v>
      </c>
      <c r="I1" s="4" t="s">
        <v>248</v>
      </c>
    </row>
    <row r="2" spans="1:9" ht="15" thickBot="1" x14ac:dyDescent="0.4">
      <c r="A2" s="6" t="s">
        <v>212</v>
      </c>
      <c r="B2" s="4" t="s">
        <v>144</v>
      </c>
      <c r="C2" s="4" t="s">
        <v>177</v>
      </c>
      <c r="D2" s="4" t="s">
        <v>173</v>
      </c>
    </row>
    <row r="3" spans="1:9" x14ac:dyDescent="0.35">
      <c r="A3" t="s">
        <v>178</v>
      </c>
      <c r="B3" s="4" t="s">
        <v>215</v>
      </c>
      <c r="C3" s="4" t="str">
        <f t="shared" ref="C3:C8" si="0">$B$1&amp;A3&amp;$C$1&amp;$D$1&amp;B3&amp;$E$1</f>
        <v>[/r/Excel](https://reddit.com/r/excel)</v>
      </c>
      <c r="D3" s="4" t="str">
        <f t="shared" ref="D3:D8" si="1">$F$1&amp;B3&amp;$A$1&amp;" "&amp;$G$1&amp;A3&amp;$A$1&amp;$H$1&amp;A3&amp;$I$1</f>
        <v>&lt;a href="https://reddit.com/r/excel" alt="/r/Excel"&gt;/r/Excel&lt;/a&gt;&lt;br/&gt;</v>
      </c>
    </row>
    <row r="4" spans="1:9" x14ac:dyDescent="0.35">
      <c r="A4" t="s">
        <v>179</v>
      </c>
      <c r="B4" s="4" t="s">
        <v>216</v>
      </c>
      <c r="C4" s="4" t="str">
        <f t="shared" si="0"/>
        <v>[PowerSpreadSheets](https://powerspreadsheets.com/)</v>
      </c>
      <c r="D4" s="4" t="str">
        <f t="shared" si="1"/>
        <v>&lt;a href="https://powerspreadsheets.com/" alt="PowerSpreadSheets"&gt;PowerSpreadSheets&lt;/a&gt;&lt;br/&gt;</v>
      </c>
    </row>
    <row r="5" spans="1:9" x14ac:dyDescent="0.35">
      <c r="A5" t="s">
        <v>180</v>
      </c>
      <c r="B5" s="4" t="s">
        <v>217</v>
      </c>
      <c r="C5" s="4" t="str">
        <f t="shared" si="0"/>
        <v>[MyExcelOnline](https://myexcelonline.com/)</v>
      </c>
      <c r="D5" s="4" t="str">
        <f t="shared" si="1"/>
        <v>&lt;a href="https://myexcelonline.com/" alt="MyExcelOnline"&gt;MyExcelOnline&lt;/a&gt;&lt;br/&gt;</v>
      </c>
    </row>
    <row r="6" spans="1:9" x14ac:dyDescent="0.35">
      <c r="A6" t="s">
        <v>181</v>
      </c>
      <c r="B6" s="4" t="s">
        <v>218</v>
      </c>
      <c r="C6" s="4" t="str">
        <f t="shared" si="0"/>
        <v>[MyOnlineTrainingHub](https://myonlinetraininghub.com/)</v>
      </c>
      <c r="D6" s="4" t="str">
        <f t="shared" si="1"/>
        <v>&lt;a href="https://myonlinetraininghub.com/" alt="MyOnlineTrainingHub"&gt;MyOnlineTrainingHub&lt;/a&gt;&lt;br/&gt;</v>
      </c>
    </row>
    <row r="7" spans="1:9" x14ac:dyDescent="0.35">
      <c r="A7" t="s">
        <v>182</v>
      </c>
      <c r="B7" s="4" t="s">
        <v>219</v>
      </c>
      <c r="C7" s="4" t="str">
        <f t="shared" si="0"/>
        <v>[TheSpreadsheetGuru](https://thespreadsheetguru.com/)</v>
      </c>
      <c r="D7" s="4" t="str">
        <f t="shared" si="1"/>
        <v>&lt;a href="https://thespreadsheetguru.com/" alt="TheSpreadsheetGuru"&gt;TheSpreadsheetGuru&lt;/a&gt;&lt;br/&gt;</v>
      </c>
    </row>
    <row r="8" spans="1:9" x14ac:dyDescent="0.35">
      <c r="A8" t="s">
        <v>183</v>
      </c>
      <c r="B8" s="4" t="s">
        <v>222</v>
      </c>
      <c r="C8" s="4" t="str">
        <f t="shared" si="0"/>
        <v>[PowerQueryTraining](https://powerquerytraining.com/)</v>
      </c>
      <c r="D8" s="4" t="str">
        <f t="shared" si="1"/>
        <v>&lt;a href="https://powerquerytraining.com/" alt="PowerQueryTraining"&gt;PowerQueryTraining&lt;/a&gt;&lt;br/&gt;</v>
      </c>
    </row>
    <row r="9" spans="1:9" x14ac:dyDescent="0.35">
      <c r="A9" s="5"/>
    </row>
    <row r="10" spans="1:9" ht="15" thickBot="1" x14ac:dyDescent="0.4">
      <c r="A10" s="6" t="s">
        <v>212</v>
      </c>
      <c r="B10" s="4" t="s">
        <v>144</v>
      </c>
      <c r="C10" s="4" t="s">
        <v>213</v>
      </c>
      <c r="D10" s="4" t="s">
        <v>173</v>
      </c>
    </row>
    <row r="11" spans="1:9" x14ac:dyDescent="0.35">
      <c r="A11" t="s">
        <v>184</v>
      </c>
      <c r="B11" s="4" t="s">
        <v>220</v>
      </c>
      <c r="C11" s="4" t="str">
        <f t="shared" ref="C11:C13" si="2">$B$1&amp;A11&amp;$C$1&amp;$D$1&amp;B11&amp;$E$1</f>
        <v>[R-Bloggers](https://www.r-bloggers.com/)</v>
      </c>
      <c r="D11" s="4" t="str">
        <f t="shared" ref="D11:D13" si="3">$F$1&amp;B11&amp;$A$1&amp;" "&amp;$G$1&amp;A11&amp;$A$1&amp;$H$1&amp;A11&amp;$I$1</f>
        <v>&lt;a href="https://www.r-bloggers.com/" alt="R-Bloggers"&gt;R-Bloggers&lt;/a&gt;&lt;br/&gt;</v>
      </c>
    </row>
    <row r="12" spans="1:9" x14ac:dyDescent="0.35">
      <c r="A12" t="s">
        <v>185</v>
      </c>
      <c r="B12" s="4" t="s">
        <v>221</v>
      </c>
      <c r="C12" s="4" t="str">
        <f t="shared" si="2"/>
        <v>[/r/RStudio](https://reddit.com/r/rstudio)</v>
      </c>
      <c r="D12" s="4" t="str">
        <f t="shared" si="3"/>
        <v>&lt;a href="https://reddit.com/r/rstudio" alt="/r/RStudio"&gt;/r/RStudio&lt;/a&gt;&lt;br/&gt;</v>
      </c>
    </row>
    <row r="13" spans="1:9" x14ac:dyDescent="0.35">
      <c r="A13" t="s">
        <v>186</v>
      </c>
      <c r="B13" s="4" t="s">
        <v>223</v>
      </c>
      <c r="C13" s="4" t="str">
        <f t="shared" si="2"/>
        <v>[R Questions](https://www.r-bloggers.com/where-to-get-help-with-your-r-question/)</v>
      </c>
      <c r="D13" s="4" t="str">
        <f t="shared" si="3"/>
        <v>&lt;a href="https://www.r-bloggers.com/where-to-get-help-with-your-r-question/" alt="R Questions"&gt;R Questions&lt;/a&gt;&lt;br/&gt;</v>
      </c>
    </row>
    <row r="14" spans="1:9" x14ac:dyDescent="0.35">
      <c r="A14" s="5"/>
    </row>
    <row r="15" spans="1:9" ht="15" thickBot="1" x14ac:dyDescent="0.4">
      <c r="A15" s="4" t="s">
        <v>212</v>
      </c>
      <c r="B15" s="4" t="s">
        <v>144</v>
      </c>
      <c r="C15" s="6" t="s">
        <v>214</v>
      </c>
      <c r="D15" s="4" t="s">
        <v>173</v>
      </c>
    </row>
    <row r="16" spans="1:9" x14ac:dyDescent="0.35">
      <c r="A16" t="s">
        <v>187</v>
      </c>
      <c r="B16" s="4" t="s">
        <v>224</v>
      </c>
      <c r="C16" s="4" t="str">
        <f t="shared" ref="C16:C22" si="4">$B$1&amp;A16&amp;$C$1&amp;$D$1&amp;B16&amp;$E$1</f>
        <v>[W3schools](https://w3schools.com/)</v>
      </c>
      <c r="D16" s="4" t="str">
        <f t="shared" ref="D16:D22" si="5">$F$1&amp;B16&amp;$A$1&amp;" "&amp;$G$1&amp;A16&amp;$A$1&amp;$H$1&amp;A16&amp;$I$1</f>
        <v>&lt;a href="https://w3schools.com/" alt="W3schools"&gt;W3schools&lt;/a&gt;&lt;br/&gt;</v>
      </c>
    </row>
    <row r="17" spans="1:4" x14ac:dyDescent="0.35">
      <c r="A17" t="s">
        <v>188</v>
      </c>
      <c r="B17" s="4" t="s">
        <v>225</v>
      </c>
      <c r="C17" s="4" t="str">
        <f t="shared" si="4"/>
        <v>[GatsbyJS](https://gatsbyjs.org/)</v>
      </c>
      <c r="D17" s="4" t="str">
        <f t="shared" si="5"/>
        <v>&lt;a href="https://gatsbyjs.org/" alt="GatsbyJS"&gt;GatsbyJS&lt;/a&gt;&lt;br/&gt;</v>
      </c>
    </row>
    <row r="18" spans="1:4" x14ac:dyDescent="0.35">
      <c r="A18" t="s">
        <v>189</v>
      </c>
      <c r="B18" s="4" t="s">
        <v>226</v>
      </c>
      <c r="C18" s="4" t="str">
        <f t="shared" si="4"/>
        <v>[Blogging with Gatsby and React](https://auth0.com/blog/building-a-blog-with-gatsby-react-and-webtask/)</v>
      </c>
      <c r="D18" s="4" t="str">
        <f t="shared" si="5"/>
        <v>&lt;a href="https://auth0.com/blog/building-a-blog-with-gatsby-react-and-webtask/" alt="Blogging with Gatsby and React"&gt;Blogging with Gatsby and React&lt;/a&gt;&lt;br/&gt;</v>
      </c>
    </row>
    <row r="19" spans="1:4" x14ac:dyDescent="0.35">
      <c r="A19" t="s">
        <v>190</v>
      </c>
      <c r="B19" s="4" t="s">
        <v>227</v>
      </c>
      <c r="C19" s="4" t="str">
        <f t="shared" si="4"/>
        <v>[Guide to Gatsby with Netlify](https://www.netlify.com/blog/2016/02/24/a-step-by-step-guide-gatsby-on-netlify/)</v>
      </c>
      <c r="D19" s="4" t="str">
        <f t="shared" si="5"/>
        <v>&lt;a href="https://www.netlify.com/blog/2016/02/24/a-step-by-step-guide-gatsby-on-netlify/" alt="Guide to Gatsby with Netlify"&gt;Guide to Gatsby with Netlify&lt;/a&gt;&lt;br/&gt;</v>
      </c>
    </row>
    <row r="20" spans="1:4" x14ac:dyDescent="0.35">
      <c r="A20" t="s">
        <v>191</v>
      </c>
      <c r="B20" s="4" t="s">
        <v>228</v>
      </c>
      <c r="C20" s="4" t="str">
        <f t="shared" si="4"/>
        <v>[Personal Resources Repository](https://github.com/prp1277/resources)</v>
      </c>
      <c r="D20" s="4" t="str">
        <f t="shared" si="5"/>
        <v>&lt;a href="https://github.com/prp1277/resources" alt="Personal Resources Repository"&gt;Personal Resources Repository&lt;/a&gt;&lt;br/&gt;</v>
      </c>
    </row>
    <row r="21" spans="1:4" x14ac:dyDescent="0.35">
      <c r="A21" t="s">
        <v>192</v>
      </c>
      <c r="B21" s="4" t="s">
        <v>229</v>
      </c>
      <c r="C21" s="4" t="str">
        <f t="shared" si="4"/>
        <v>[React Flexbox](https://reactjsexample.com/react-flexbox-grid-made-simple/)</v>
      </c>
      <c r="D21" s="4" t="str">
        <f t="shared" si="5"/>
        <v>&lt;a href="https://reactjsexample.com/react-flexbox-grid-made-simple/" alt="React Flexbox"&gt;React Flexbox&lt;/a&gt;&lt;br/&gt;</v>
      </c>
    </row>
    <row r="22" spans="1:4" x14ac:dyDescent="0.35">
      <c r="A22" t="s">
        <v>193</v>
      </c>
      <c r="B22" s="4" t="s">
        <v>230</v>
      </c>
      <c r="C22" s="4" t="str">
        <f t="shared" si="4"/>
        <v>[Multiple HTTP requests in Node.js](https://stackoverflow.com/questions/34436455/calling-multiple-http-requests-in-a-single-http-request-in-node-js)</v>
      </c>
      <c r="D22" s="4" t="str">
        <f t="shared" si="5"/>
        <v>&lt;a href="https://stackoverflow.com/questions/34436455/calling-multiple-http-requests-in-a-single-http-request-in-node-js" alt="Multiple HTTP requests in Node.js"&gt;Multiple HTTP requests in Node.js&lt;/a&gt;&lt;br/&gt;</v>
      </c>
    </row>
    <row r="23" spans="1:4" x14ac:dyDescent="0.35">
      <c r="A23" s="5"/>
    </row>
    <row r="24" spans="1:4" ht="15" thickBot="1" x14ac:dyDescent="0.4">
      <c r="A24" s="4" t="s">
        <v>212</v>
      </c>
      <c r="B24" s="4" t="s">
        <v>144</v>
      </c>
      <c r="C24" s="6" t="s">
        <v>194</v>
      </c>
      <c r="D24" s="4" t="s">
        <v>173</v>
      </c>
    </row>
    <row r="25" spans="1:4" x14ac:dyDescent="0.35">
      <c r="A25" t="s">
        <v>195</v>
      </c>
      <c r="B25" s="4" t="s">
        <v>231</v>
      </c>
      <c r="C25" s="4" t="str">
        <f t="shared" ref="C25:C30" si="6">$B$1&amp;A25&amp;$C$1&amp;$D$1&amp;B25&amp;$E$1</f>
        <v>[Official Power BI Forum](http://community.powerbi.com/t5/Forums/ct-p/Forums)</v>
      </c>
      <c r="D25" s="4" t="str">
        <f t="shared" ref="D25:D30" si="7">$F$1&amp;B25&amp;$A$1&amp;" "&amp;$G$1&amp;A25&amp;$A$1&amp;$H$1&amp;A25&amp;$I$1</f>
        <v>&lt;a href="http://community.powerbi.com/t5/Forums/ct-p/Forums" alt="Official Power BI Forum"&gt;Official Power BI Forum&lt;/a&gt;&lt;br/&gt;</v>
      </c>
    </row>
    <row r="26" spans="1:4" x14ac:dyDescent="0.35">
      <c r="A26" t="s">
        <v>196</v>
      </c>
      <c r="B26" s="4" t="s">
        <v>232</v>
      </c>
      <c r="C26" s="4" t="str">
        <f t="shared" si="6"/>
        <v>[TechNet Power Query](https://social.technet.microsoft.com/Forums/en-US/home?forum=powerquery)</v>
      </c>
      <c r="D26" s="4" t="str">
        <f t="shared" si="7"/>
        <v>&lt;a href="https://social.technet.microsoft.com/Forums/en-US/home?forum=powerquery" alt="TechNet Power Query"&gt;TechNet Power Query&lt;/a&gt;&lt;br/&gt;</v>
      </c>
    </row>
    <row r="27" spans="1:4" x14ac:dyDescent="0.35">
      <c r="A27" t="s">
        <v>197</v>
      </c>
      <c r="B27" s="4" t="s">
        <v>233</v>
      </c>
      <c r="C27" s="4" t="str">
        <f t="shared" si="6"/>
        <v>[TechNet Power Pivot](https://social.technet.microsoft.com/Forums/en-US/home?forum=powerquery%2Csqlkjpowerpivotforexcel&amp;filter=alltypes&amp;sort=lastpostdesc)</v>
      </c>
      <c r="D27" s="4" t="str">
        <f t="shared" si="7"/>
        <v>&lt;a href="https://social.technet.microsoft.com/Forums/en-US/home?forum=powerquery%2Csqlkjpowerpivotforexcel&amp;filter=alltypes&amp;sort=lastpostdesc" alt="TechNet Power Pivot"&gt;TechNet Power Pivot&lt;/a&gt;&lt;br/&gt;</v>
      </c>
    </row>
    <row r="28" spans="1:4" x14ac:dyDescent="0.35">
      <c r="A28" t="s">
        <v>198</v>
      </c>
      <c r="B28" s="4" t="s">
        <v>234</v>
      </c>
      <c r="C28" s="4" t="str">
        <f t="shared" si="6"/>
        <v>[Mr Excel Power BI](http://www.mrexcel.com/forum/power-bi/)</v>
      </c>
      <c r="D28" s="4" t="str">
        <f t="shared" si="7"/>
        <v>&lt;a href="http://www.mrexcel.com/forum/power-bi/" alt="Mr Excel Power BI"&gt;Mr Excel Power BI&lt;/a&gt;&lt;br/&gt;</v>
      </c>
    </row>
    <row r="29" spans="1:4" x14ac:dyDescent="0.35">
      <c r="A29" t="s">
        <v>199</v>
      </c>
      <c r="B29" s="4" t="s">
        <v>235</v>
      </c>
      <c r="C29" s="4" t="str">
        <f t="shared" si="6"/>
        <v>[Stackoverflow Power Query](http://stackoverflow.com/questions/tagged/powerquery)</v>
      </c>
      <c r="D29" s="4" t="str">
        <f t="shared" si="7"/>
        <v>&lt;a href="http://stackoverflow.com/questions/tagged/powerquery" alt="Stackoverflow Power Query"&gt;Stackoverflow Power Query&lt;/a&gt;&lt;br/&gt;</v>
      </c>
    </row>
    <row r="30" spans="1:4" x14ac:dyDescent="0.35">
      <c r="A30" t="s">
        <v>200</v>
      </c>
      <c r="B30" s="4" t="s">
        <v>236</v>
      </c>
      <c r="C30" s="4" t="str">
        <f t="shared" si="6"/>
        <v>[XLGuru - Ken Puls](http://www.excelguru.ca/forums/forumdisplay.php?19-Power-Query-(Get-amp-Transform))</v>
      </c>
      <c r="D30" s="4" t="str">
        <f t="shared" si="7"/>
        <v>&lt;a href="http://www.excelguru.ca/forums/forumdisplay.php?19-Power-Query-(Get-amp-Transform)" alt="XLGuru - Ken Puls"&gt;XLGuru - Ken Puls&lt;/a&gt;&lt;br/&gt;</v>
      </c>
    </row>
    <row r="31" spans="1:4" x14ac:dyDescent="0.35">
      <c r="A31" s="5"/>
    </row>
    <row r="32" spans="1:4" ht="15" thickBot="1" x14ac:dyDescent="0.4">
      <c r="A32" s="4" t="s">
        <v>212</v>
      </c>
      <c r="B32" s="4" t="s">
        <v>144</v>
      </c>
      <c r="C32" s="6" t="s">
        <v>201</v>
      </c>
      <c r="D32" s="4" t="s">
        <v>173</v>
      </c>
    </row>
    <row r="33" spans="1:4" x14ac:dyDescent="0.35">
      <c r="A33" t="s">
        <v>202</v>
      </c>
      <c r="B33" s="4" t="s">
        <v>237</v>
      </c>
      <c r="C33" s="4" t="str">
        <f t="shared" ref="C33:C43" si="8">$B$1&amp;A33&amp;$C$1&amp;$D$1&amp;B33&amp;$E$1</f>
        <v>[The Biccountant - Imke Feldmann](https://www.thebiccountant.com/)</v>
      </c>
      <c r="D33" s="4" t="str">
        <f t="shared" ref="D33:D43" si="9">$F$1&amp;B33&amp;$A$1&amp;" "&amp;$G$1&amp;A33&amp;$A$1&amp;$H$1&amp;A33&amp;$I$1</f>
        <v>&lt;a href="https://www.thebiccountant.com/" alt="The Biccountant - Imke Feldmann"&gt;The Biccountant - Imke Feldmann&lt;/a&gt;&lt;br/&gt;</v>
      </c>
    </row>
    <row r="34" spans="1:4" x14ac:dyDescent="0.35">
      <c r="A34" t="s">
        <v>203</v>
      </c>
      <c r="B34" s="4" t="s">
        <v>238</v>
      </c>
      <c r="C34" s="4" t="str">
        <f t="shared" si="8"/>
        <v>[Crossjoin - Chris Webb](http://blog.crossjoin.co.uk/)</v>
      </c>
      <c r="D34" s="4" t="str">
        <f t="shared" si="9"/>
        <v>&lt;a href="http://blog.crossjoin.co.uk/" alt="Crossjoin - Chris Webb"&gt;Crossjoin - Chris Webb&lt;/a&gt;&lt;br/&gt;</v>
      </c>
    </row>
    <row r="35" spans="1:4" x14ac:dyDescent="0.35">
      <c r="A35" t="s">
        <v>200</v>
      </c>
      <c r="B35" s="4" t="s">
        <v>239</v>
      </c>
      <c r="C35" s="4" t="str">
        <f t="shared" si="8"/>
        <v>[XLGuru - Ken Puls](http://www.excelguru.ca/blog/)</v>
      </c>
      <c r="D35" s="4" t="str">
        <f t="shared" si="9"/>
        <v>&lt;a href="http://www.excelguru.ca/blog/" alt="XLGuru - Ken Puls"&gt;XLGuru - Ken Puls&lt;/a&gt;&lt;br/&gt;</v>
      </c>
    </row>
    <row r="36" spans="1:4" x14ac:dyDescent="0.35">
      <c r="A36" t="s">
        <v>204</v>
      </c>
      <c r="B36" s="4" t="s">
        <v>240</v>
      </c>
      <c r="C36" s="4" t="str">
        <f t="shared" si="8"/>
        <v>[DataChant - Gil Raviv](https://datachant.com/)</v>
      </c>
      <c r="D36" s="4" t="str">
        <f t="shared" si="9"/>
        <v>&lt;a href="https://datachant.com/" alt="DataChant - Gil Raviv"&gt;DataChant - Gil Raviv&lt;/a&gt;&lt;br/&gt;</v>
      </c>
    </row>
    <row r="37" spans="1:4" x14ac:dyDescent="0.35">
      <c r="A37" t="s">
        <v>205</v>
      </c>
      <c r="B37" s="4" t="s">
        <v>241</v>
      </c>
      <c r="C37" s="4" t="str">
        <f t="shared" si="8"/>
        <v>[Bondarenkoivan - Ivan Bond](https://bondarenkoivan.wordpress.com/)</v>
      </c>
      <c r="D37" s="4" t="str">
        <f t="shared" si="9"/>
        <v>&lt;a href="https://bondarenkoivan.wordpress.com/" alt="Bondarenkoivan - Ivan Bond"&gt;Bondarenkoivan - Ivan Bond&lt;/a&gt;&lt;br/&gt;</v>
      </c>
    </row>
    <row r="38" spans="1:4" x14ac:dyDescent="0.35">
      <c r="A38" t="s">
        <v>206</v>
      </c>
      <c r="B38" s="4" t="s">
        <v>242</v>
      </c>
      <c r="C38" s="4" t="str">
        <f t="shared" si="8"/>
        <v>[Excel Inside Pro - Maxim Zelensky](http://excel-inside.pro/)</v>
      </c>
      <c r="D38" s="4" t="str">
        <f t="shared" si="9"/>
        <v>&lt;a href="http://excel-inside.pro/" alt="Excel Inside Pro - Maxim Zelensky"&gt;Excel Inside Pro - Maxim Zelensky&lt;/a&gt;&lt;br/&gt;</v>
      </c>
    </row>
    <row r="39" spans="1:4" x14ac:dyDescent="0.35">
      <c r="A39" t="s">
        <v>207</v>
      </c>
      <c r="B39" s="4" t="s">
        <v>243</v>
      </c>
      <c r="C39" s="4" t="str">
        <f t="shared" si="8"/>
        <v>[Matt Mason's blog](http://www.mattmasson.com/)</v>
      </c>
      <c r="D39" s="4" t="str">
        <f t="shared" si="9"/>
        <v>&lt;a href="http://www.mattmasson.com/" alt="Matt Mason's blog"&gt;Matt Mason's blog&lt;/a&gt;&lt;br/&gt;</v>
      </c>
    </row>
    <row r="40" spans="1:4" x14ac:dyDescent="0.35">
      <c r="A40" t="s">
        <v>208</v>
      </c>
      <c r="B40" s="4" t="s">
        <v>244</v>
      </c>
      <c r="C40" s="4" t="str">
        <f t="shared" si="8"/>
        <v>[Exceleratorbi - Matt Allington](http://exceleratorbi.com.au/)</v>
      </c>
      <c r="D40" s="4" t="str">
        <f t="shared" si="9"/>
        <v>&lt;a href="http://exceleratorbi.com.au/" alt="Exceleratorbi - Matt Allington"&gt;Exceleratorbi - Matt Allington&lt;/a&gt;&lt;br/&gt;</v>
      </c>
    </row>
    <row r="41" spans="1:4" x14ac:dyDescent="0.35">
      <c r="A41" t="s">
        <v>209</v>
      </c>
      <c r="B41" s="4" t="s">
        <v>245</v>
      </c>
      <c r="C41" s="4" t="str">
        <f t="shared" si="8"/>
        <v>[PowerPivotPro - Rob Collie](http://www.powerpivotpro.com/)</v>
      </c>
      <c r="D41" s="4" t="str">
        <f t="shared" si="9"/>
        <v>&lt;a href="http://www.powerpivotpro.com/" alt="PowerPivotPro - Rob Collie"&gt;PowerPivotPro - Rob Collie&lt;/a&gt;&lt;br/&gt;</v>
      </c>
    </row>
    <row r="42" spans="1:4" x14ac:dyDescent="0.35">
      <c r="A42" t="s">
        <v>210</v>
      </c>
      <c r="B42" s="4" t="s">
        <v>246</v>
      </c>
      <c r="C42" s="4" t="str">
        <f t="shared" si="8"/>
        <v>[SQLBi - Marco Russo &amp; Alberto Ferrari](https://www.sqlbi.com/)</v>
      </c>
      <c r="D42" s="4" t="str">
        <f t="shared" si="9"/>
        <v>&lt;a href="https://www.sqlbi.com/" alt="SQLBi - Marco Russo &amp; Alberto Ferrari"&gt;SQLBi - Marco Russo &amp; Alberto Ferrari&lt;/a&gt;&lt;br/&gt;</v>
      </c>
    </row>
    <row r="43" spans="1:4" x14ac:dyDescent="0.35">
      <c r="A43" t="s">
        <v>211</v>
      </c>
      <c r="B43" s="4" t="s">
        <v>247</v>
      </c>
      <c r="C43" s="4" t="str">
        <f t="shared" si="8"/>
        <v>[tinylizard - Scott Senkeresty](http://tinylizard.com/)</v>
      </c>
      <c r="D43" s="4" t="str">
        <f t="shared" si="9"/>
        <v>&lt;a href="http://tinylizard.com/" alt="tinylizard - Scott Senkeresty"&gt;tinylizard - Scott Senkeresty&lt;/a&gt;&lt;br/&gt;</v>
      </c>
    </row>
  </sheetData>
  <pageMargins left="0.7" right="0.7" top="0.75" bottom="0.75" header="0.3" footer="0.3"/>
  <tableParts count="5">
    <tablePart r:id="rId1"/>
    <tablePart r:id="rId2"/>
    <tablePart r:id="rId3"/>
    <tablePart r:id="rId4"/>
    <tablePart r:id="rId5"/>
  </tablePart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2</vt:i4>
      </vt:variant>
    </vt:vector>
  </HeadingPairs>
  <TitlesOfParts>
    <vt:vector size="2" baseType="lpstr">
      <vt:lpstr>README</vt:lpstr>
      <vt:lpstr>RESOURCES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prp1277</dc:creator>
  <cp:lastModifiedBy>prp1277</cp:lastModifiedBy>
  <dcterms:created xsi:type="dcterms:W3CDTF">2018-08-10T19:17:41Z</dcterms:created>
  <dcterms:modified xsi:type="dcterms:W3CDTF">2018-08-13T20:58:06Z</dcterms:modified>
</cp:coreProperties>
</file>